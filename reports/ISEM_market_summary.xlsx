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Heatmap" sheetId="3" state="visible" r:id="rId3"/>
    <sheet name="Battery" sheetId="4" state="visible" r:id="rId4"/>
    <sheet name="Forecast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#,##0&quot; €&quot;"/>
    <numFmt numFmtId="167" formatCode="0.0"/>
    <numFmt numFmtId="168" formatCode="+0.0;-0.0"/>
  </numFmts>
  <fonts count="8">
    <font>
      <name val="Calibri"/>
      <family val="2"/>
      <color theme="1"/>
      <sz val="11"/>
      <scheme val="minor"/>
    </font>
    <font>
      <b val="1"/>
      <color rgb="000D366B"/>
      <sz val="14"/>
    </font>
    <font>
      <i val="1"/>
      <color rgb="0052514E"/>
      <sz val="9"/>
    </font>
    <font>
      <b val="1"/>
      <color rgb="00FFFFFF"/>
    </font>
    <font>
      <b val="1"/>
    </font>
    <font>
      <b val="1"/>
      <color rgb="000D366B"/>
    </font>
    <font>
      <b val="1"/>
      <color rgb="002A78D6"/>
      <sz val="12"/>
    </font>
    <font>
      <color rgb="0052514E"/>
    </font>
  </fonts>
  <fills count="4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bottom style="thin">
        <color rgb="00D0D0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67" fontId="6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3" fontId="6" fillId="0" borderId="1" pivotButton="0" quotePrefix="0" xfId="0"/>
    <xf numFmtId="9" fontId="6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4" fontId="4" fillId="3" borderId="0" pivotButton="0" quotePrefix="0" xfId="0"/>
    <xf numFmtId="1" fontId="4" fillId="3" borderId="0" pivotButton="0" quotePrefix="0" xfId="0"/>
    <xf numFmtId="165" fontId="4" fillId="3" borderId="0" pivotButton="0" quotePrefix="0" xfId="0"/>
    <xf numFmtId="1" fontId="0" fillId="0" borderId="0" applyAlignment="1" pivotButton="0" quotePrefix="0" xfId="0">
      <alignment horizontal="center"/>
    </xf>
    <xf numFmtId="166" fontId="0" fillId="0" borderId="0" pivotButton="0" quotePrefix="0" xfId="0"/>
    <xf numFmtId="9" fontId="0" fillId="0" borderId="0" pivotButton="0" quotePrefix="0" xfId="0"/>
    <xf numFmtId="166" fontId="4" fillId="3" borderId="0" pivotButton="0" quotePrefix="0" xfId="0"/>
    <xf numFmtId="9" fontId="4" fillId="3" borderId="0" pivotButton="0" quotePrefix="0" xfId="0"/>
    <xf numFmtId="166" fontId="4" fillId="0" borderId="0" pivotButton="0" quotePrefix="0" xfId="0"/>
    <xf numFmtId="0" fontId="5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mean price vs GB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'Monthly'!$A$5:$A$28</f>
            </numRef>
          </cat>
          <val>
            <numRef>
              <f>'Monthly'!$B$5:$B$28</f>
            </numRef>
          </val>
        </ser>
        <ser>
          <idx val="1"/>
          <order val="1"/>
          <tx>
            <strRef>
              <f>'Monthly'!L4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'Monthly'!$A$5:$A$28</f>
            </numRef>
          </cat>
          <val>
            <numRef>
              <f>'Monthly'!$L$5:$L$28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'Battery'!B4</f>
            </strRef>
          </tx>
          <spPr>
            <a:ln>
              <a:prstDash val="solid"/>
            </a:ln>
          </spPr>
          <cat>
            <numRef>
              <f>'Battery'!$A$5:$A$16</f>
            </numRef>
          </cat>
          <val>
            <numRef>
              <f>'Battery'!$B$5:$B$16</f>
            </numRef>
          </val>
        </ser>
        <ser>
          <idx val="1"/>
          <order val="1"/>
          <tx>
            <strRef>
              <f>'Battery'!C4</f>
            </strRef>
          </tx>
          <spPr>
            <a:ln>
              <a:prstDash val="solid"/>
            </a:ln>
          </spPr>
          <cat>
            <numRef>
              <f>'Battery'!$A$5:$A$16</f>
            </numRef>
          </cat>
          <val>
            <numRef>
              <f>'Battery'!$C$5:$C$16</f>
            </numRef>
          </val>
        </ser>
        <ser>
          <idx val="2"/>
          <order val="2"/>
          <tx>
            <strRef>
              <f>'Battery'!E4</f>
            </strRef>
          </tx>
          <spPr>
            <a:ln>
              <a:prstDash val="solid"/>
            </a:ln>
          </spPr>
          <cat>
            <numRef>
              <f>'Battery'!$A$5:$A$16</f>
            </numRef>
          </cat>
          <val>
            <numRef>
              <f>'Battery'!$E$5:$E$16</f>
            </numRef>
          </val>
        </ser>
        <gapWidth val="15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 per 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absolute error by model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'Forecast'!B4</f>
            </strRef>
          </tx>
          <spPr>
            <a:ln>
              <a:prstDash val="solid"/>
            </a:ln>
          </spPr>
          <cat>
            <numRef>
              <f>'Forecast'!$A$5:$A$10</f>
            </numRef>
          </cat>
          <val>
            <numRef>
              <f>'Forecast'!$B$5:$B$10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62" customWidth="1" min="4" max="4"/>
  </cols>
  <sheetData>
    <row r="1">
      <c r="A1" s="1" t="inlineStr">
        <is>
          <t>I-SEM wind, price and battery arbitrage - summary</t>
        </is>
      </c>
    </row>
    <row r="2">
      <c r="A2" s="2" t="inlineStr">
        <is>
          <t>Trading days 1 Oct 2024 - 30 Sep 2026; test year = Oct 2025 - Sep 2026. Source data: Ember/SEMOpx, Energy-Charts/ENTSO-E, Open-Meteo. See Notes.</t>
        </is>
      </c>
    </row>
    <row r="4" ht="32" customHeight="1">
      <c r="A4" s="3" t="inlineStr">
        <is>
          <t>KPI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Comment</t>
        </is>
      </c>
    </row>
    <row r="5">
      <c r="A5" s="4" t="inlineStr">
        <is>
          <t>Mean DAM price (study period)</t>
        </is>
      </c>
      <c r="B5" s="5">
        <f>Monthly!B29</f>
        <v/>
      </c>
      <c r="C5" s="6" t="inlineStr">
        <is>
          <t>EUR/MWh</t>
        </is>
      </c>
      <c r="D5" s="7" t="inlineStr">
        <is>
          <t>Average of monthly means</t>
        </is>
      </c>
    </row>
    <row r="6">
      <c r="A6" s="4" t="inlineStr">
        <is>
          <t>Highest monthly mean</t>
        </is>
      </c>
      <c r="B6" s="5">
        <f>Monthly!B31</f>
        <v/>
      </c>
      <c r="C6" s="6" t="inlineStr">
        <is>
          <t>EUR/MWh</t>
        </is>
      </c>
      <c r="D6" s="7" t="inlineStr">
        <is>
          <t>Sep 2026 - the level tracks GB/gas</t>
        </is>
      </c>
    </row>
    <row r="7">
      <c r="A7" s="4" t="inlineStr">
        <is>
          <t>Hours at or below 5 EUR/MWh</t>
        </is>
      </c>
      <c r="B7" s="8">
        <f>Monthly!F29</f>
        <v/>
      </c>
      <c r="C7" s="6" t="inlineStr">
        <is>
          <t>hours</t>
        </is>
      </c>
      <c r="D7" s="7" t="inlineStr">
        <is>
          <t>1.5% of hours; mostly night and midday</t>
        </is>
      </c>
    </row>
    <row r="8">
      <c r="A8" s="4" t="inlineStr">
        <is>
          <t>Median daily spread (max - min)</t>
        </is>
      </c>
      <c r="B8" s="5" t="n">
        <v>104</v>
      </c>
      <c r="C8" s="6" t="inlineStr">
        <is>
          <t>EUR/MWh</t>
        </is>
      </c>
      <c r="D8" s="7" t="inlineStr">
        <is>
          <t>The battery revenue pool</t>
        </is>
      </c>
    </row>
    <row r="9">
      <c r="A9" s="4" t="inlineStr">
        <is>
          <t>Merit-order effect</t>
        </is>
      </c>
      <c r="B9" s="5" t="n">
        <v>14.728</v>
      </c>
      <c r="C9" s="6" t="inlineStr">
        <is>
          <t>EUR/MWh per 10 pp</t>
        </is>
      </c>
      <c r="D9" s="7" t="inlineStr">
        <is>
          <t>Price fall per +10 points of wind penetration, within month</t>
        </is>
      </c>
    </row>
    <row r="10">
      <c r="A10" s="4" t="inlineStr">
        <is>
          <t>Forecast MAE - LightGBM</t>
        </is>
      </c>
      <c r="B10" s="5">
        <f>Forecast!B8</f>
        <v/>
      </c>
      <c r="C10" s="6" t="inlineStr">
        <is>
          <t>EUR/MWh</t>
        </is>
      </c>
      <c r="D10" s="7" t="inlineStr">
        <is>
          <t>Test year</t>
        </is>
      </c>
    </row>
    <row r="11">
      <c r="A11" s="4" t="inlineStr">
        <is>
          <t>Forecast MAE - naive (yesterday)</t>
        </is>
      </c>
      <c r="B11" s="5">
        <f>Forecast!B6</f>
        <v/>
      </c>
      <c r="C11" s="6" t="inlineStr">
        <is>
          <t>EUR/MWh</t>
        </is>
      </c>
      <c r="D11" s="7" t="inlineStr">
        <is>
          <t>Baseline</t>
        </is>
      </c>
    </row>
    <row r="12">
      <c r="A12" s="4" t="inlineStr">
        <is>
          <t>Forecast improvement vs naive</t>
        </is>
      </c>
      <c r="B12" s="9">
        <f>Forecast!E8</f>
        <v/>
      </c>
      <c r="C12" s="6" t="inlineStr">
        <is>
          <t>%</t>
        </is>
      </c>
      <c r="D12" s="7" t="inlineStr">
        <is>
          <t>Lower MAE is better</t>
        </is>
      </c>
    </row>
    <row r="13">
      <c r="A13" s="4" t="inlineStr">
        <is>
          <t>Battery revenue - perfect foresight</t>
        </is>
      </c>
      <c r="B13" s="8">
        <f>Battery!B18</f>
        <v/>
      </c>
      <c r="C13" s="6" t="inlineStr">
        <is>
          <t>EUR/MW/yr</t>
        </is>
      </c>
      <c r="D13" s="7" t="inlineStr">
        <is>
          <t>Upper bound</t>
        </is>
      </c>
    </row>
    <row r="14">
      <c r="A14" s="4" t="inlineStr">
        <is>
          <t>Battery revenue - forecast-based</t>
        </is>
      </c>
      <c r="B14" s="8">
        <f>Battery!C18</f>
        <v/>
      </c>
      <c r="C14" s="6" t="inlineStr">
        <is>
          <t>EUR/MW/yr</t>
        </is>
      </c>
      <c r="D14" s="7" t="inlineStr">
        <is>
          <t>Optimised on LightGBM</t>
        </is>
      </c>
    </row>
    <row r="15">
      <c r="A15" s="4" t="inlineStr">
        <is>
          <t>Battery revenue - simple rule</t>
        </is>
      </c>
      <c r="B15" s="8">
        <f>Battery!E18</f>
        <v/>
      </c>
      <c r="C15" s="6" t="inlineStr">
        <is>
          <t>EUR/MW/yr</t>
        </is>
      </c>
      <c r="D15" s="7" t="inlineStr">
        <is>
          <t>Fixed seasonal hours</t>
        </is>
      </c>
    </row>
    <row r="16">
      <c r="A16" s="4" t="inlineStr">
        <is>
          <t>Share of perfect foresight captured</t>
        </is>
      </c>
      <c r="B16" s="9">
        <f>Battery!C18/Battery!B18</f>
        <v/>
      </c>
      <c r="C16" s="6" t="inlineStr">
        <is>
          <t>%</t>
        </is>
      </c>
      <c r="D16" s="7" t="inlineStr">
        <is>
          <t>Forecast strategy</t>
        </is>
      </c>
    </row>
    <row r="17">
      <c r="A17" s="4" t="inlineStr">
        <is>
          <t>Value of forecasting</t>
        </is>
      </c>
      <c r="B17" s="8">
        <f>Battery!C18-Battery!E18</f>
        <v/>
      </c>
      <c r="C17" s="6" t="inlineStr">
        <is>
          <t>EUR/MW/yr</t>
        </is>
      </c>
      <c r="D17" s="7" t="inlineStr">
        <is>
          <t>Forecast minus rule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I-SEM day-ahead prices by trading month (EUR/MWh)</t>
        </is>
      </c>
    </row>
    <row r="2">
      <c r="A2" s="2" t="inlineStr">
        <is>
          <t>Study period Oct 2024 - Sep 2026. Wind capture price = wind-weighted average price. Wind penetration = ROI wind / ROI load.</t>
        </is>
      </c>
    </row>
    <row r="4" ht="32" customHeight="1">
      <c r="A4" s="3" t="inlineStr">
        <is>
          <t>Month</t>
        </is>
      </c>
      <c r="B4" s="3" t="inlineStr">
        <is>
          <t>Mean price</t>
        </is>
      </c>
      <c r="C4" s="3" t="inlineStr">
        <is>
          <t>Min</t>
        </is>
      </c>
      <c r="D4" s="3" t="inlineStr">
        <is>
          <t>Max</t>
        </is>
      </c>
      <c r="E4" s="3" t="inlineStr">
        <is>
          <t>Std dev</t>
        </is>
      </c>
      <c r="F4" s="3" t="inlineStr">
        <is>
          <t>Hours &lt;= 5 EUR</t>
        </is>
      </c>
      <c r="G4" s="3" t="inlineStr">
        <is>
          <t>Negative hours</t>
        </is>
      </c>
      <c r="H4" s="3" t="inlineStr">
        <is>
          <t>Median daily spread</t>
        </is>
      </c>
      <c r="I4" s="3" t="inlineStr">
        <is>
          <t>Wind capture price</t>
        </is>
      </c>
      <c r="J4" s="3" t="inlineStr">
        <is>
          <t>Mean wind penetration</t>
        </is>
      </c>
      <c r="K4" s="3" t="inlineStr">
        <is>
          <t>Mean all-island wind (MW)</t>
        </is>
      </c>
      <c r="L4" s="3" t="inlineStr">
        <is>
          <t>GB mean price</t>
        </is>
      </c>
    </row>
    <row r="5">
      <c r="A5" t="inlineStr">
        <is>
          <t>Oct 2024</t>
        </is>
      </c>
      <c r="B5" s="10" t="n">
        <v>123.4960939597315</v>
      </c>
      <c r="C5" s="10" t="n">
        <v>0</v>
      </c>
      <c r="D5" s="10" t="n">
        <v>315</v>
      </c>
      <c r="E5" s="10" t="n">
        <v>55.88520869350817</v>
      </c>
      <c r="F5" s="11" t="n">
        <v>13</v>
      </c>
      <c r="G5" s="11" t="n">
        <v>0</v>
      </c>
      <c r="H5" s="10" t="n">
        <v>101.31</v>
      </c>
      <c r="I5" s="10" t="n">
        <v>105.6166981128259</v>
      </c>
      <c r="J5" s="12" t="n">
        <v>0.3561413830640383</v>
      </c>
      <c r="K5" s="10" t="n">
        <v>1642.293496503497</v>
      </c>
      <c r="L5" s="10" t="n">
        <v>100.5925100671141</v>
      </c>
    </row>
    <row r="6">
      <c r="A6" t="inlineStr">
        <is>
          <t>Nov 2024</t>
        </is>
      </c>
      <c r="B6" s="10" t="n">
        <v>148.7537351190476</v>
      </c>
      <c r="C6" s="10" t="n">
        <v>-4.12</v>
      </c>
      <c r="D6" s="10" t="n">
        <v>387.89</v>
      </c>
      <c r="E6" s="10" t="n">
        <v>61.10588082275684</v>
      </c>
      <c r="F6" s="11" t="n">
        <v>14</v>
      </c>
      <c r="G6" s="11" t="n">
        <v>7</v>
      </c>
      <c r="H6" s="10" t="n">
        <v>140.12</v>
      </c>
      <c r="I6" s="10" t="n">
        <v>121.2536042565608</v>
      </c>
      <c r="J6" s="12" t="n">
        <v>0.2935075017143734</v>
      </c>
      <c r="K6" s="10" t="n">
        <v>1440.774271137026</v>
      </c>
      <c r="L6" s="10" t="n">
        <v>117.0715694444444</v>
      </c>
    </row>
    <row r="7">
      <c r="A7" t="inlineStr">
        <is>
          <t>Dec 2024</t>
        </is>
      </c>
      <c r="B7" s="10" t="n">
        <v>139.6221527777778</v>
      </c>
      <c r="C7" s="10" t="n">
        <v>0</v>
      </c>
      <c r="D7" s="10" t="n">
        <v>499.99</v>
      </c>
      <c r="E7" s="10" t="n">
        <v>89.1082422253633</v>
      </c>
      <c r="F7" s="11" t="n">
        <v>14</v>
      </c>
      <c r="G7" s="11" t="n">
        <v>0</v>
      </c>
      <c r="H7" s="10" t="n">
        <v>115.405</v>
      </c>
      <c r="I7" s="10" t="n">
        <v>108.1040005486177</v>
      </c>
      <c r="J7" s="12" t="n">
        <v>0.4278295387882307</v>
      </c>
      <c r="K7" s="10" t="n">
        <v>2027.292806770099</v>
      </c>
      <c r="L7" s="10" t="n">
        <v>109.3861693548387</v>
      </c>
    </row>
    <row r="8">
      <c r="A8" t="inlineStr">
        <is>
          <t>Jan 2025</t>
        </is>
      </c>
      <c r="B8" s="10" t="n">
        <v>166.5082083333333</v>
      </c>
      <c r="C8" s="10" t="n">
        <v>8</v>
      </c>
      <c r="D8" s="10" t="n">
        <v>494.1</v>
      </c>
      <c r="E8" s="10" t="n">
        <v>74.810335159762</v>
      </c>
      <c r="F8" s="11" t="n">
        <v>0</v>
      </c>
      <c r="G8" s="11" t="n">
        <v>0</v>
      </c>
      <c r="H8" s="10" t="n">
        <v>154.135</v>
      </c>
      <c r="I8" s="10" t="n">
        <v>142.2028719607729</v>
      </c>
      <c r="J8" s="12" t="n">
        <v>0.3439156194911345</v>
      </c>
      <c r="K8" s="10" t="n">
        <v>1710.291292517007</v>
      </c>
      <c r="L8" s="10" t="n">
        <v>141.1054032258064</v>
      </c>
    </row>
    <row r="9">
      <c r="A9" t="inlineStr">
        <is>
          <t>Feb 2025</t>
        </is>
      </c>
      <c r="B9" s="10" t="n">
        <v>141.1658024691358</v>
      </c>
      <c r="C9" s="10" t="n">
        <v>21.42</v>
      </c>
      <c r="D9" s="10" t="n">
        <v>335</v>
      </c>
      <c r="E9" s="10" t="n">
        <v>47.86133497349081</v>
      </c>
      <c r="F9" s="11" t="n">
        <v>0</v>
      </c>
      <c r="G9" s="11" t="n">
        <v>0</v>
      </c>
      <c r="H9" s="10" t="n">
        <v>83.96000000000001</v>
      </c>
      <c r="I9" s="10" t="n">
        <v>130.1082688277086</v>
      </c>
      <c r="J9" s="12" t="n">
        <v>0.4997418085930708</v>
      </c>
      <c r="K9" s="10" t="n">
        <v>2512.256371814093</v>
      </c>
      <c r="L9" s="10" t="n">
        <v>127.5735416666667</v>
      </c>
    </row>
    <row r="10">
      <c r="A10" t="inlineStr">
        <is>
          <t>Mar 2025</t>
        </is>
      </c>
      <c r="B10" s="10" t="n">
        <v>131.8184118438762</v>
      </c>
      <c r="C10" s="10" t="n">
        <v>20.42</v>
      </c>
      <c r="D10" s="10" t="n">
        <v>366.21</v>
      </c>
      <c r="E10" s="10" t="n">
        <v>50.96180212317334</v>
      </c>
      <c r="F10" s="11" t="n">
        <v>0</v>
      </c>
      <c r="G10" s="11" t="n">
        <v>0</v>
      </c>
      <c r="H10" s="10" t="n">
        <v>144.14</v>
      </c>
      <c r="I10" s="10" t="n">
        <v>115.8931884713684</v>
      </c>
      <c r="J10" s="12" t="n">
        <v>0.3314508141749712</v>
      </c>
      <c r="K10" s="10" t="n">
        <v>1621.788199181446</v>
      </c>
      <c r="L10" s="10" t="n">
        <v>106.4285464333782</v>
      </c>
    </row>
    <row r="11">
      <c r="A11" t="inlineStr">
        <is>
          <t>Apr 2025</t>
        </is>
      </c>
      <c r="B11" s="10" t="n">
        <v>111.0050277777778</v>
      </c>
      <c r="C11" s="10" t="n">
        <v>0</v>
      </c>
      <c r="D11" s="10" t="n">
        <v>300</v>
      </c>
      <c r="E11" s="10" t="n">
        <v>39.74078679277527</v>
      </c>
      <c r="F11" s="11" t="n">
        <v>3</v>
      </c>
      <c r="G11" s="11" t="n">
        <v>0</v>
      </c>
      <c r="H11" s="10" t="n">
        <v>109.335</v>
      </c>
      <c r="I11" s="10" t="n">
        <v>101.73891447765</v>
      </c>
      <c r="J11" s="12" t="n">
        <v>0.2838399345561213</v>
      </c>
      <c r="K11" s="10" t="n">
        <v>1298.481726618705</v>
      </c>
      <c r="L11" s="10" t="n">
        <v>91.75130555555556</v>
      </c>
    </row>
    <row r="12">
      <c r="A12" t="inlineStr">
        <is>
          <t>May 2025</t>
        </is>
      </c>
      <c r="B12" s="10" t="n">
        <v>108.6652956989247</v>
      </c>
      <c r="C12" s="10" t="n">
        <v>-23.5</v>
      </c>
      <c r="D12" s="10" t="n">
        <v>237.39</v>
      </c>
      <c r="E12" s="10" t="n">
        <v>41.26324400685156</v>
      </c>
      <c r="F12" s="11" t="n">
        <v>23</v>
      </c>
      <c r="G12" s="11" t="n">
        <v>16</v>
      </c>
      <c r="H12" s="10" t="n">
        <v>86.08999999999999</v>
      </c>
      <c r="I12" s="10" t="n">
        <v>89.76611017944278</v>
      </c>
      <c r="J12" s="12" t="n">
        <v>0.22802730997972</v>
      </c>
      <c r="K12" s="10" t="n">
        <v>965.2534741144415</v>
      </c>
      <c r="L12" s="10" t="n">
        <v>82.12030913978495</v>
      </c>
    </row>
    <row r="13">
      <c r="A13" t="inlineStr">
        <is>
          <t>Jun 2025</t>
        </is>
      </c>
      <c r="B13" s="10" t="n">
        <v>95.19073611111111</v>
      </c>
      <c r="C13" s="10" t="n">
        <v>-5.17</v>
      </c>
      <c r="D13" s="10" t="n">
        <v>224</v>
      </c>
      <c r="E13" s="10" t="n">
        <v>38.8175069279665</v>
      </c>
      <c r="F13" s="11" t="n">
        <v>20</v>
      </c>
      <c r="G13" s="11" t="n">
        <v>4</v>
      </c>
      <c r="H13" s="10" t="n">
        <v>85.56999999999999</v>
      </c>
      <c r="I13" s="10" t="n">
        <v>84.09327265922961</v>
      </c>
      <c r="J13" s="12" t="n">
        <v>0.3043916233384183</v>
      </c>
      <c r="K13" s="10" t="n">
        <v>1328.608286908078</v>
      </c>
      <c r="L13" s="10" t="n">
        <v>79.02776388888888</v>
      </c>
    </row>
    <row r="14">
      <c r="A14" t="inlineStr">
        <is>
          <t>Jul 2025</t>
        </is>
      </c>
      <c r="B14" s="10" t="n">
        <v>99.65237500000001</v>
      </c>
      <c r="C14" s="10" t="n">
        <v>10.87</v>
      </c>
      <c r="D14" s="10" t="n">
        <v>191.7</v>
      </c>
      <c r="E14" s="10" t="n">
        <v>22.71628015147671</v>
      </c>
      <c r="F14" s="11" t="n">
        <v>0</v>
      </c>
      <c r="G14" s="11" t="n">
        <v>0</v>
      </c>
      <c r="H14" s="10" t="n">
        <v>54.235</v>
      </c>
      <c r="I14" s="10" t="n">
        <v>93.51318154244657</v>
      </c>
      <c r="J14" s="12" t="n">
        <v>0.2467780341449271</v>
      </c>
      <c r="K14" s="10" t="n">
        <v>1088.930716253444</v>
      </c>
      <c r="L14" s="10" t="n">
        <v>91.63168010752689</v>
      </c>
    </row>
    <row r="15">
      <c r="A15" t="inlineStr">
        <is>
          <t>Aug 2025</t>
        </is>
      </c>
      <c r="B15" s="10" t="n">
        <v>96.44256720430108</v>
      </c>
      <c r="C15" s="10" t="n">
        <v>0</v>
      </c>
      <c r="D15" s="10" t="n">
        <v>288.98</v>
      </c>
      <c r="E15" s="10" t="n">
        <v>43.51114544175574</v>
      </c>
      <c r="F15" s="11" t="n">
        <v>38</v>
      </c>
      <c r="G15" s="11" t="n">
        <v>0</v>
      </c>
      <c r="H15" s="10" t="n">
        <v>72.66</v>
      </c>
      <c r="I15" s="10" t="n">
        <v>77.58196946540347</v>
      </c>
      <c r="J15" s="12" t="n">
        <v>0.2780286853456858</v>
      </c>
      <c r="K15" s="10" t="n">
        <v>1184.927792732167</v>
      </c>
      <c r="L15" s="10" t="n">
        <v>82.60213709677419</v>
      </c>
    </row>
    <row r="16">
      <c r="A16" t="inlineStr">
        <is>
          <t>Sep 2025</t>
        </is>
      </c>
      <c r="B16" s="10" t="n">
        <v>94.28436781609196</v>
      </c>
      <c r="C16" s="10" t="n">
        <v>-3.19</v>
      </c>
      <c r="D16" s="10" t="n">
        <v>232.89</v>
      </c>
      <c r="E16" s="10" t="n">
        <v>46.9056110665646</v>
      </c>
      <c r="F16" s="11" t="n">
        <v>29</v>
      </c>
      <c r="G16" s="11" t="n">
        <v>12</v>
      </c>
      <c r="H16" s="10" t="n">
        <v>114.32</v>
      </c>
      <c r="I16" s="10" t="n">
        <v>80.88181512253941</v>
      </c>
      <c r="J16" s="12" t="n">
        <v>0.3448337845710747</v>
      </c>
      <c r="K16" s="10" t="n">
        <v>1541.033657858136</v>
      </c>
      <c r="L16" s="10" t="n">
        <v>76.84494444444445</v>
      </c>
    </row>
    <row r="17">
      <c r="A17" t="inlineStr">
        <is>
          <t>Oct 2025</t>
        </is>
      </c>
      <c r="B17" s="10" t="n">
        <v>101.1330738255034</v>
      </c>
      <c r="C17" s="10" t="n">
        <v>-18.42</v>
      </c>
      <c r="D17" s="10" t="n">
        <v>315.4</v>
      </c>
      <c r="E17" s="10" t="n">
        <v>58.57562550045947</v>
      </c>
      <c r="F17" s="11" t="n">
        <v>55</v>
      </c>
      <c r="G17" s="11" t="n">
        <v>26</v>
      </c>
      <c r="H17" s="10" t="n">
        <v>125</v>
      </c>
      <c r="I17" s="10" t="n">
        <v>78.85509743807779</v>
      </c>
      <c r="J17" s="12" t="n">
        <v>0.369308811653801</v>
      </c>
      <c r="K17" s="10" t="n">
        <v>1694.747986111111</v>
      </c>
      <c r="L17" s="10" t="n">
        <v>80.6449932885906</v>
      </c>
    </row>
    <row r="18">
      <c r="A18" t="inlineStr">
        <is>
          <t>Nov 2025</t>
        </is>
      </c>
      <c r="B18" s="10" t="n">
        <v>123.1715416666667</v>
      </c>
      <c r="C18" s="10" t="n">
        <v>2.28</v>
      </c>
      <c r="D18" s="10" t="n">
        <v>464.32</v>
      </c>
      <c r="E18" s="10" t="n">
        <v>70.65108478338597</v>
      </c>
      <c r="F18" s="11" t="n">
        <v>3</v>
      </c>
      <c r="G18" s="11" t="n">
        <v>0</v>
      </c>
      <c r="H18" s="10" t="n">
        <v>103.46</v>
      </c>
      <c r="I18" s="10" t="n">
        <v>101.6384010273206</v>
      </c>
      <c r="J18" s="12" t="n">
        <v>0.3527758751723078</v>
      </c>
      <c r="K18" s="10" t="n">
        <v>1802.747777777778</v>
      </c>
      <c r="L18" s="10" t="n">
        <v>88.23051388888889</v>
      </c>
    </row>
    <row r="19">
      <c r="A19" t="inlineStr">
        <is>
          <t>Dec 2025</t>
        </is>
      </c>
      <c r="B19" s="10" t="n">
        <v>108.4029569892473</v>
      </c>
      <c r="C19" s="10" t="n">
        <v>7</v>
      </c>
      <c r="D19" s="10" t="n">
        <v>285</v>
      </c>
      <c r="E19" s="10" t="n">
        <v>45.06295701137668</v>
      </c>
      <c r="F19" s="11" t="n">
        <v>0</v>
      </c>
      <c r="G19" s="11" t="n">
        <v>0</v>
      </c>
      <c r="H19" s="10" t="n">
        <v>93.59</v>
      </c>
      <c r="I19" s="10" t="n">
        <v>92.64648348752645</v>
      </c>
      <c r="J19" s="12" t="n">
        <v>0.3924246988765812</v>
      </c>
      <c r="K19" s="10" t="n">
        <v>2039.713795423957</v>
      </c>
      <c r="L19" s="10" t="n">
        <v>86.2125806451613</v>
      </c>
    </row>
    <row r="20">
      <c r="A20" t="inlineStr">
        <is>
          <t>Jan 2026</t>
        </is>
      </c>
      <c r="B20" s="10" t="n">
        <v>127.1845967741935</v>
      </c>
      <c r="C20" s="10" t="n">
        <v>48.78</v>
      </c>
      <c r="D20" s="10" t="n">
        <v>287.39</v>
      </c>
      <c r="E20" s="10" t="n">
        <v>38.76581945624839</v>
      </c>
      <c r="F20" s="11" t="n">
        <v>0</v>
      </c>
      <c r="G20" s="11" t="n">
        <v>0</v>
      </c>
      <c r="H20" s="10" t="n">
        <v>101.47</v>
      </c>
      <c r="I20" s="10" t="n">
        <v>116.429828355343</v>
      </c>
      <c r="J20" s="12" t="n">
        <v>0.336921894656831</v>
      </c>
      <c r="K20" s="10" t="n">
        <v>1871.993203230148</v>
      </c>
      <c r="L20" s="10" t="n">
        <v>107.7496639784946</v>
      </c>
    </row>
    <row r="21">
      <c r="A21" t="inlineStr">
        <is>
          <t>Feb 2026</t>
        </is>
      </c>
      <c r="B21" s="10" t="n">
        <v>108.5689583333333</v>
      </c>
      <c r="C21" s="10" t="n">
        <v>20.67</v>
      </c>
      <c r="D21" s="10" t="n">
        <v>263.64</v>
      </c>
      <c r="E21" s="10" t="n">
        <v>36.98782132654077</v>
      </c>
      <c r="F21" s="11" t="n">
        <v>0</v>
      </c>
      <c r="G21" s="11" t="n">
        <v>0</v>
      </c>
      <c r="H21" s="10" t="n">
        <v>78.39</v>
      </c>
      <c r="I21" s="10" t="n">
        <v>97.37566037488642</v>
      </c>
      <c r="J21" s="12" t="n">
        <v>0.4188435959861289</v>
      </c>
      <c r="K21" s="10" t="n">
        <v>2265.693778110945</v>
      </c>
      <c r="L21" s="10" t="n">
        <v>92.44970238095237</v>
      </c>
    </row>
    <row r="22">
      <c r="A22" t="inlineStr">
        <is>
          <t>Mar 2026</t>
        </is>
      </c>
      <c r="B22" s="10" t="n">
        <v>129.3543606998654</v>
      </c>
      <c r="C22" s="10" t="n">
        <v>0</v>
      </c>
      <c r="D22" s="10" t="n">
        <v>368</v>
      </c>
      <c r="E22" s="10" t="n">
        <v>60.12824689353305</v>
      </c>
      <c r="F22" s="11" t="n">
        <v>12</v>
      </c>
      <c r="G22" s="11" t="n">
        <v>0</v>
      </c>
      <c r="H22" s="10" t="n">
        <v>127.87</v>
      </c>
      <c r="I22" s="10" t="n">
        <v>110.5121976897065</v>
      </c>
      <c r="J22" s="12" t="n">
        <v>0.4037779055156606</v>
      </c>
      <c r="K22" s="10" t="n">
        <v>2069.583714670256</v>
      </c>
      <c r="L22" s="10" t="n">
        <v>109.8622207267833</v>
      </c>
    </row>
    <row r="23">
      <c r="A23" t="inlineStr">
        <is>
          <t>Apr 2026</t>
        </is>
      </c>
      <c r="B23" s="10" t="n">
        <v>131.8957222222222</v>
      </c>
      <c r="C23" s="10" t="n">
        <v>-10</v>
      </c>
      <c r="D23" s="10" t="n">
        <v>329.27</v>
      </c>
      <c r="E23" s="10" t="n">
        <v>61.6201820164847</v>
      </c>
      <c r="F23" s="11" t="n">
        <v>32</v>
      </c>
      <c r="G23" s="11" t="n">
        <v>4</v>
      </c>
      <c r="H23" s="10" t="n">
        <v>140.33</v>
      </c>
      <c r="I23" s="10" t="n">
        <v>109.9972926225016</v>
      </c>
      <c r="J23" s="12" t="n">
        <v>0.3761722943776452</v>
      </c>
      <c r="K23" s="10" t="n">
        <v>1809.882614742698</v>
      </c>
      <c r="L23" s="10" t="n">
        <v>95.52318055555556</v>
      </c>
    </row>
    <row r="24">
      <c r="A24" t="inlineStr">
        <is>
          <t>May 2026</t>
        </is>
      </c>
      <c r="B24" s="10" t="n">
        <v>145.0079032258064</v>
      </c>
      <c r="C24" s="10" t="n">
        <v>78.15000000000001</v>
      </c>
      <c r="D24" s="10" t="n">
        <v>266.31</v>
      </c>
      <c r="E24" s="10" t="n">
        <v>36.32668794385797</v>
      </c>
      <c r="F24" s="11" t="n">
        <v>0</v>
      </c>
      <c r="G24" s="11" t="n">
        <v>0</v>
      </c>
      <c r="H24" s="10" t="n">
        <v>86.37</v>
      </c>
      <c r="I24" s="10" t="n">
        <v>131.1296272036715</v>
      </c>
      <c r="J24" s="12" t="n">
        <v>0.2817089738248086</v>
      </c>
      <c r="K24" s="10" t="n">
        <v>1303.178936742934</v>
      </c>
      <c r="L24" s="10" t="n">
        <v>120.8556451612903</v>
      </c>
    </row>
    <row r="25">
      <c r="A25" t="inlineStr">
        <is>
          <t>Jun 2026</t>
        </is>
      </c>
      <c r="B25" s="10" t="n">
        <v>135.8403055555556</v>
      </c>
      <c r="C25" s="10" t="n">
        <v>5.29</v>
      </c>
      <c r="D25" s="10" t="n">
        <v>414.2</v>
      </c>
      <c r="E25" s="10" t="n">
        <v>51.01748842932871</v>
      </c>
      <c r="F25" s="11" t="n">
        <v>0</v>
      </c>
      <c r="G25" s="11" t="n">
        <v>0</v>
      </c>
      <c r="H25" s="10" t="n">
        <v>104.965</v>
      </c>
      <c r="I25" s="10" t="n">
        <v>120.8362463959288</v>
      </c>
      <c r="J25" s="12" t="n">
        <v>0.3103408891743863</v>
      </c>
      <c r="K25" s="10" t="n">
        <v>1381.209401114206</v>
      </c>
      <c r="L25" s="10" t="n">
        <v>115.2235</v>
      </c>
    </row>
    <row r="26">
      <c r="A26" t="inlineStr">
        <is>
          <t>Jul 2026</t>
        </is>
      </c>
      <c r="B26" s="10" t="n">
        <v>155.8054569892473</v>
      </c>
      <c r="C26" s="10" t="n">
        <v>10</v>
      </c>
      <c r="D26" s="10" t="n">
        <v>294.5</v>
      </c>
      <c r="E26" s="10" t="n">
        <v>45.92409941331591</v>
      </c>
      <c r="F26" s="11" t="n">
        <v>0</v>
      </c>
      <c r="G26" s="11" t="n">
        <v>0</v>
      </c>
      <c r="H26" s="10" t="n">
        <v>106.99</v>
      </c>
      <c r="I26" s="10" t="n">
        <v>142.5145528585174</v>
      </c>
      <c r="J26" s="12" t="n">
        <v>0.2269445350924418</v>
      </c>
      <c r="K26" s="10" t="n">
        <v>1042.217924528302</v>
      </c>
      <c r="L26" s="10" t="n">
        <v>125.3421908602151</v>
      </c>
    </row>
    <row r="27">
      <c r="A27" t="inlineStr">
        <is>
          <t>Aug 2026</t>
        </is>
      </c>
      <c r="B27" s="10" t="n">
        <v>171.0489784946237</v>
      </c>
      <c r="C27" s="10" t="n">
        <v>8.789999999999999</v>
      </c>
      <c r="D27" s="10" t="n">
        <v>315.32</v>
      </c>
      <c r="E27" s="10" t="n">
        <v>38.86599870687375</v>
      </c>
      <c r="F27" s="11" t="n">
        <v>0</v>
      </c>
      <c r="G27" s="11" t="n">
        <v>0</v>
      </c>
      <c r="H27" s="10" t="n">
        <v>88.93000000000001</v>
      </c>
      <c r="I27" s="10" t="n">
        <v>163.852916312366</v>
      </c>
      <c r="J27" s="12" t="n">
        <v>0.178191571647009</v>
      </c>
      <c r="K27" s="10" t="n">
        <v>836.021370967742</v>
      </c>
      <c r="L27" s="10" t="n">
        <v>149.440564516129</v>
      </c>
    </row>
    <row r="28">
      <c r="A28" t="inlineStr">
        <is>
          <t>Sep 2026</t>
        </is>
      </c>
      <c r="B28" s="10" t="n">
        <v>182.7438888888889</v>
      </c>
      <c r="C28" s="10" t="n">
        <v>0.38</v>
      </c>
      <c r="D28" s="10" t="n">
        <v>414.9</v>
      </c>
      <c r="E28" s="10" t="n">
        <v>65.51331207567915</v>
      </c>
      <c r="F28" s="11" t="n">
        <v>13</v>
      </c>
      <c r="G28" s="11" t="n">
        <v>0</v>
      </c>
      <c r="H28" s="10" t="n">
        <v>149.41</v>
      </c>
      <c r="I28" s="10" t="n">
        <v>165.5970756293374</v>
      </c>
      <c r="J28" s="12" t="n">
        <v>0.353117334087738</v>
      </c>
      <c r="K28" s="10" t="n">
        <v>1706.579568345324</v>
      </c>
      <c r="L28" s="10" t="n">
        <v>156.2366805555556</v>
      </c>
    </row>
    <row r="29">
      <c r="A29" s="13" t="inlineStr">
        <is>
          <t>Average (hours: total)</t>
        </is>
      </c>
      <c r="B29" s="14">
        <f>AVERAGE(B5:B28)</f>
        <v/>
      </c>
      <c r="C29" s="14">
        <f>AVERAGE(C5:C28)</f>
        <v/>
      </c>
      <c r="D29" s="14">
        <f>AVERAGE(D5:D28)</f>
        <v/>
      </c>
      <c r="E29" s="14">
        <f>AVERAGE(E5:E28)</f>
        <v/>
      </c>
      <c r="F29" s="15">
        <f>SUM(F5:F28)</f>
        <v/>
      </c>
      <c r="G29" s="15">
        <f>SUM(G5:G28)</f>
        <v/>
      </c>
      <c r="H29" s="14">
        <f>AVERAGE(H5:H28)</f>
        <v/>
      </c>
      <c r="I29" s="14">
        <f>AVERAGE(I5:I28)</f>
        <v/>
      </c>
      <c r="J29" s="16">
        <f>AVERAGE(J5:J28)</f>
        <v/>
      </c>
      <c r="K29" s="14">
        <f>AVERAGE(K5:K28)</f>
        <v/>
      </c>
      <c r="L29" s="14">
        <f>AVERAGE(L5:L28)</f>
        <v/>
      </c>
    </row>
    <row r="30">
      <c r="A30" s="13" t="inlineStr">
        <is>
          <t>Minimum</t>
        </is>
      </c>
      <c r="B30" s="14">
        <f>MIN(B5:B28)</f>
        <v/>
      </c>
      <c r="C30" s="14">
        <f>MIN(C5:C28)</f>
        <v/>
      </c>
      <c r="D30" s="14">
        <f>MIN(D5:D28)</f>
        <v/>
      </c>
      <c r="E30" s="14">
        <f>MIN(E5:E28)</f>
        <v/>
      </c>
      <c r="F30" s="15">
        <f>MIN(F5:F28)</f>
        <v/>
      </c>
      <c r="G30" s="15">
        <f>MIN(G5:G28)</f>
        <v/>
      </c>
      <c r="H30" s="14">
        <f>MIN(H5:H28)</f>
        <v/>
      </c>
      <c r="I30" s="14">
        <f>MIN(I5:I28)</f>
        <v/>
      </c>
      <c r="J30" s="16">
        <f>MIN(J5:J28)</f>
        <v/>
      </c>
      <c r="K30" s="14">
        <f>MIN(K5:K28)</f>
        <v/>
      </c>
      <c r="L30" s="14">
        <f>MIN(L5:L28)</f>
        <v/>
      </c>
    </row>
    <row r="31">
      <c r="A31" s="13" t="inlineStr">
        <is>
          <t>Maximum</t>
        </is>
      </c>
      <c r="B31" s="14">
        <f>MAX(B5:B28)</f>
        <v/>
      </c>
      <c r="C31" s="14">
        <f>MAX(C5:C28)</f>
        <v/>
      </c>
      <c r="D31" s="14">
        <f>MAX(D5:D28)</f>
        <v/>
      </c>
      <c r="E31" s="14">
        <f>MAX(E5:E28)</f>
        <v/>
      </c>
      <c r="F31" s="15">
        <f>MAX(F5:F28)</f>
        <v/>
      </c>
      <c r="G31" s="15">
        <f>MAX(G5:G28)</f>
        <v/>
      </c>
      <c r="H31" s="14">
        <f>MAX(H5:H28)</f>
        <v/>
      </c>
      <c r="I31" s="14">
        <f>MAX(I5:I28)</f>
        <v/>
      </c>
      <c r="J31" s="16">
        <f>MAX(J5:J28)</f>
        <v/>
      </c>
      <c r="K31" s="14">
        <f>MAX(K5:K28)</f>
        <v/>
      </c>
      <c r="L31" s="14">
        <f>MAX(L5:L28)</f>
        <v/>
      </c>
    </row>
  </sheetData>
  <conditionalFormatting sqref="B5:B28">
    <cfRule type="colorScale" priority="1">
      <colorScale>
        <cfvo type="min"/>
        <cfvo type="max"/>
        <color rgb="00F7FBFF"/>
        <color rgb="002A78D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</cols>
  <sheetData>
    <row r="1">
      <c r="A1" s="1" t="inlineStr">
        <is>
          <t>Average DAM price by hour (Irish local time) and trading month, EUR/MWh</t>
        </is>
      </c>
    </row>
    <row r="2">
      <c r="A2" s="2" t="inlineStr">
        <is>
          <t>Conditional colour scale: blue = cheap, red = expensive.</t>
        </is>
      </c>
    </row>
    <row r="4" ht="32" customHeight="1">
      <c r="A4" s="3" t="inlineStr">
        <is>
          <t>Hour</t>
        </is>
      </c>
      <c r="B4" s="3" t="inlineStr">
        <is>
          <t>Oct 24</t>
        </is>
      </c>
      <c r="C4" s="3" t="inlineStr">
        <is>
          <t>Nov 24</t>
        </is>
      </c>
      <c r="D4" s="3" t="inlineStr">
        <is>
          <t>Dec 24</t>
        </is>
      </c>
      <c r="E4" s="3" t="inlineStr">
        <is>
          <t>Jan 25</t>
        </is>
      </c>
      <c r="F4" s="3" t="inlineStr">
        <is>
          <t>Feb 25</t>
        </is>
      </c>
      <c r="G4" s="3" t="inlineStr">
        <is>
          <t>Mar 25</t>
        </is>
      </c>
      <c r="H4" s="3" t="inlineStr">
        <is>
          <t>Apr 25</t>
        </is>
      </c>
      <c r="I4" s="3" t="inlineStr">
        <is>
          <t>May 25</t>
        </is>
      </c>
      <c r="J4" s="3" t="inlineStr">
        <is>
          <t>Jun 25</t>
        </is>
      </c>
      <c r="K4" s="3" t="inlineStr">
        <is>
          <t>Jul 25</t>
        </is>
      </c>
      <c r="L4" s="3" t="inlineStr">
        <is>
          <t>Aug 25</t>
        </is>
      </c>
      <c r="M4" s="3" t="inlineStr">
        <is>
          <t>Sep 25</t>
        </is>
      </c>
      <c r="N4" s="3" t="inlineStr">
        <is>
          <t>Oct 25</t>
        </is>
      </c>
      <c r="O4" s="3" t="inlineStr">
        <is>
          <t>Nov 25</t>
        </is>
      </c>
      <c r="P4" s="3" t="inlineStr">
        <is>
          <t>Dec 25</t>
        </is>
      </c>
      <c r="Q4" s="3" t="inlineStr">
        <is>
          <t>Jan 26</t>
        </is>
      </c>
      <c r="R4" s="3" t="inlineStr">
        <is>
          <t>Feb 26</t>
        </is>
      </c>
      <c r="S4" s="3" t="inlineStr">
        <is>
          <t>Mar 26</t>
        </is>
      </c>
      <c r="T4" s="3" t="inlineStr">
        <is>
          <t>Apr 26</t>
        </is>
      </c>
      <c r="U4" s="3" t="inlineStr">
        <is>
          <t>May 26</t>
        </is>
      </c>
      <c r="V4" s="3" t="inlineStr">
        <is>
          <t>Jun 26</t>
        </is>
      </c>
      <c r="W4" s="3" t="inlineStr">
        <is>
          <t>Jul 26</t>
        </is>
      </c>
      <c r="X4" s="3" t="inlineStr">
        <is>
          <t>Aug 26</t>
        </is>
      </c>
      <c r="Y4" s="3" t="inlineStr">
        <is>
          <t>Sep 26</t>
        </is>
      </c>
    </row>
    <row r="5">
      <c r="A5" s="13" t="inlineStr">
        <is>
          <t>00:00</t>
        </is>
      </c>
      <c r="B5" s="17" t="n">
        <v>91.2</v>
      </c>
      <c r="C5" s="17" t="n">
        <v>109.5</v>
      </c>
      <c r="D5" s="17" t="n">
        <v>96</v>
      </c>
      <c r="E5" s="17" t="n">
        <v>122.9</v>
      </c>
      <c r="F5" s="17" t="n">
        <v>115.4</v>
      </c>
      <c r="G5" s="17" t="n">
        <v>111.2</v>
      </c>
      <c r="H5" s="17" t="n">
        <v>96.8</v>
      </c>
      <c r="I5" s="17" t="n">
        <v>103.2</v>
      </c>
      <c r="J5" s="17" t="n">
        <v>96.2</v>
      </c>
      <c r="K5" s="17" t="n">
        <v>96.09999999999999</v>
      </c>
      <c r="L5" s="17" t="n">
        <v>93</v>
      </c>
      <c r="M5" s="17" t="n">
        <v>68.3</v>
      </c>
      <c r="N5" s="17" t="n">
        <v>69.09999999999999</v>
      </c>
      <c r="O5" s="17" t="n">
        <v>86.40000000000001</v>
      </c>
      <c r="P5" s="17" t="n">
        <v>81.7</v>
      </c>
      <c r="Q5" s="17" t="n">
        <v>99.2</v>
      </c>
      <c r="R5" s="17" t="n">
        <v>94.3</v>
      </c>
      <c r="S5" s="17" t="n">
        <v>110.5</v>
      </c>
      <c r="T5" s="17" t="n">
        <v>129.4</v>
      </c>
      <c r="U5" s="17" t="n">
        <v>146.9</v>
      </c>
      <c r="V5" s="17" t="n">
        <v>137.4</v>
      </c>
      <c r="W5" s="17" t="n">
        <v>168.2</v>
      </c>
      <c r="X5" s="17" t="n">
        <v>171.2</v>
      </c>
      <c r="Y5" s="17" t="n">
        <v>175</v>
      </c>
    </row>
    <row r="6">
      <c r="A6" s="13" t="inlineStr">
        <is>
          <t>01:00</t>
        </is>
      </c>
      <c r="B6" s="17" t="n">
        <v>91.3</v>
      </c>
      <c r="C6" s="17" t="n">
        <v>107.2</v>
      </c>
      <c r="D6" s="17" t="n">
        <v>89.59999999999999</v>
      </c>
      <c r="E6" s="17" t="n">
        <v>121.1</v>
      </c>
      <c r="F6" s="17" t="n">
        <v>112.5</v>
      </c>
      <c r="G6" s="17" t="n">
        <v>110.9</v>
      </c>
      <c r="H6" s="17" t="n">
        <v>92</v>
      </c>
      <c r="I6" s="17" t="n">
        <v>95.3</v>
      </c>
      <c r="J6" s="17" t="n">
        <v>86.90000000000001</v>
      </c>
      <c r="K6" s="17" t="n">
        <v>91.3</v>
      </c>
      <c r="L6" s="17" t="n">
        <v>86.8</v>
      </c>
      <c r="M6" s="17" t="n">
        <v>65.09999999999999</v>
      </c>
      <c r="N6" s="17" t="n">
        <v>67.40000000000001</v>
      </c>
      <c r="O6" s="17" t="n">
        <v>80.40000000000001</v>
      </c>
      <c r="P6" s="17" t="n">
        <v>78.59999999999999</v>
      </c>
      <c r="Q6" s="17" t="n">
        <v>98</v>
      </c>
      <c r="R6" s="17" t="n">
        <v>92</v>
      </c>
      <c r="S6" s="17" t="n">
        <v>106.4</v>
      </c>
      <c r="T6" s="17" t="n">
        <v>122.1</v>
      </c>
      <c r="U6" s="17" t="n">
        <v>135.9</v>
      </c>
      <c r="V6" s="17" t="n">
        <v>127.8</v>
      </c>
      <c r="W6" s="17" t="n">
        <v>155</v>
      </c>
      <c r="X6" s="17" t="n">
        <v>159.1</v>
      </c>
      <c r="Y6" s="17" t="n">
        <v>166.1</v>
      </c>
    </row>
    <row r="7">
      <c r="A7" s="13" t="inlineStr">
        <is>
          <t>02:00</t>
        </is>
      </c>
      <c r="B7" s="17" t="n">
        <v>87.2</v>
      </c>
      <c r="C7" s="17" t="n">
        <v>104.6</v>
      </c>
      <c r="D7" s="17" t="n">
        <v>84.5</v>
      </c>
      <c r="E7" s="17" t="n">
        <v>116.6</v>
      </c>
      <c r="F7" s="17" t="n">
        <v>109.3</v>
      </c>
      <c r="G7" s="17" t="n">
        <v>105.4</v>
      </c>
      <c r="H7" s="17" t="n">
        <v>93</v>
      </c>
      <c r="I7" s="17" t="n">
        <v>97.5</v>
      </c>
      <c r="J7" s="17" t="n">
        <v>84.8</v>
      </c>
      <c r="K7" s="17" t="n">
        <v>89.09999999999999</v>
      </c>
      <c r="L7" s="17" t="n">
        <v>84.5</v>
      </c>
      <c r="M7" s="17" t="n">
        <v>64.7</v>
      </c>
      <c r="N7" s="17" t="n">
        <v>67.09999999999999</v>
      </c>
      <c r="O7" s="17" t="n">
        <v>78.8</v>
      </c>
      <c r="P7" s="17" t="n">
        <v>75.8</v>
      </c>
      <c r="Q7" s="17" t="n">
        <v>96.09999999999999</v>
      </c>
      <c r="R7" s="17" t="n">
        <v>91.90000000000001</v>
      </c>
      <c r="S7" s="17" t="n">
        <v>104.6</v>
      </c>
      <c r="T7" s="17" t="n">
        <v>125.2</v>
      </c>
      <c r="U7" s="17" t="n">
        <v>137.7</v>
      </c>
      <c r="V7" s="17" t="n">
        <v>129.4</v>
      </c>
      <c r="W7" s="17" t="n">
        <v>156.7</v>
      </c>
      <c r="X7" s="17" t="n">
        <v>158.2</v>
      </c>
      <c r="Y7" s="17" t="n">
        <v>165.4</v>
      </c>
    </row>
    <row r="8">
      <c r="A8" s="13" t="inlineStr">
        <is>
          <t>03:00</t>
        </is>
      </c>
      <c r="B8" s="17" t="n">
        <v>85</v>
      </c>
      <c r="C8" s="17" t="n">
        <v>101.8</v>
      </c>
      <c r="D8" s="17" t="n">
        <v>80.2</v>
      </c>
      <c r="E8" s="17" t="n">
        <v>114.6</v>
      </c>
      <c r="F8" s="17" t="n">
        <v>107.4</v>
      </c>
      <c r="G8" s="17" t="n">
        <v>102.8</v>
      </c>
      <c r="H8" s="17" t="n">
        <v>91.7</v>
      </c>
      <c r="I8" s="17" t="n">
        <v>94.59999999999999</v>
      </c>
      <c r="J8" s="17" t="n">
        <v>81.5</v>
      </c>
      <c r="K8" s="17" t="n">
        <v>87.40000000000001</v>
      </c>
      <c r="L8" s="17" t="n">
        <v>81.3</v>
      </c>
      <c r="M8" s="17" t="n">
        <v>64.3</v>
      </c>
      <c r="N8" s="17" t="n">
        <v>65.8</v>
      </c>
      <c r="O8" s="17" t="n">
        <v>75.40000000000001</v>
      </c>
      <c r="P8" s="17" t="n">
        <v>73.90000000000001</v>
      </c>
      <c r="Q8" s="17" t="n">
        <v>94.40000000000001</v>
      </c>
      <c r="R8" s="17" t="n">
        <v>87.90000000000001</v>
      </c>
      <c r="S8" s="17" t="n">
        <v>101.1</v>
      </c>
      <c r="T8" s="17" t="n">
        <v>120.6</v>
      </c>
      <c r="U8" s="17" t="n">
        <v>132.8</v>
      </c>
      <c r="V8" s="17" t="n">
        <v>125.4</v>
      </c>
      <c r="W8" s="17" t="n">
        <v>150.7</v>
      </c>
      <c r="X8" s="17" t="n">
        <v>153.1</v>
      </c>
      <c r="Y8" s="17" t="n">
        <v>161.6</v>
      </c>
    </row>
    <row r="9">
      <c r="A9" s="13" t="inlineStr">
        <is>
          <t>04:00</t>
        </is>
      </c>
      <c r="B9" s="17" t="n">
        <v>83.90000000000001</v>
      </c>
      <c r="C9" s="17" t="n">
        <v>100.4</v>
      </c>
      <c r="D9" s="17" t="n">
        <v>78.59999999999999</v>
      </c>
      <c r="E9" s="17" t="n">
        <v>111.3</v>
      </c>
      <c r="F9" s="17" t="n">
        <v>106.7</v>
      </c>
      <c r="G9" s="17" t="n">
        <v>100.9</v>
      </c>
      <c r="H9" s="17" t="n">
        <v>91.5</v>
      </c>
      <c r="I9" s="17" t="n">
        <v>93.7</v>
      </c>
      <c r="J9" s="17" t="n">
        <v>80</v>
      </c>
      <c r="K9" s="17" t="n">
        <v>87.09999999999999</v>
      </c>
      <c r="L9" s="17" t="n">
        <v>79.40000000000001</v>
      </c>
      <c r="M9" s="17" t="n">
        <v>65.09999999999999</v>
      </c>
      <c r="N9" s="17" t="n">
        <v>66</v>
      </c>
      <c r="O9" s="17" t="n">
        <v>74.3</v>
      </c>
      <c r="P9" s="17" t="n">
        <v>72.59999999999999</v>
      </c>
      <c r="Q9" s="17" t="n">
        <v>94</v>
      </c>
      <c r="R9" s="17" t="n">
        <v>85.2</v>
      </c>
      <c r="S9" s="17" t="n">
        <v>98.8</v>
      </c>
      <c r="T9" s="17" t="n">
        <v>117</v>
      </c>
      <c r="U9" s="17" t="n">
        <v>129.9</v>
      </c>
      <c r="V9" s="17" t="n">
        <v>122.5</v>
      </c>
      <c r="W9" s="17" t="n">
        <v>147.4</v>
      </c>
      <c r="X9" s="17" t="n">
        <v>154.1</v>
      </c>
      <c r="Y9" s="17" t="n">
        <v>161.6</v>
      </c>
    </row>
    <row r="10">
      <c r="A10" s="13" t="inlineStr">
        <is>
          <t>05:00</t>
        </is>
      </c>
      <c r="B10" s="17" t="n">
        <v>87.40000000000001</v>
      </c>
      <c r="C10" s="17" t="n">
        <v>101.6</v>
      </c>
      <c r="D10" s="17" t="n">
        <v>82.8</v>
      </c>
      <c r="E10" s="17" t="n">
        <v>111.2</v>
      </c>
      <c r="F10" s="17" t="n">
        <v>112.1</v>
      </c>
      <c r="G10" s="17" t="n">
        <v>106.7</v>
      </c>
      <c r="H10" s="17" t="n">
        <v>96.3</v>
      </c>
      <c r="I10" s="17" t="n">
        <v>94.3</v>
      </c>
      <c r="J10" s="17" t="n">
        <v>80.90000000000001</v>
      </c>
      <c r="K10" s="17" t="n">
        <v>87.7</v>
      </c>
      <c r="L10" s="17" t="n">
        <v>82.40000000000001</v>
      </c>
      <c r="M10" s="17" t="n">
        <v>70.7</v>
      </c>
      <c r="N10" s="17" t="n">
        <v>69.7</v>
      </c>
      <c r="O10" s="17" t="n">
        <v>75.8</v>
      </c>
      <c r="P10" s="17" t="n">
        <v>73.90000000000001</v>
      </c>
      <c r="Q10" s="17" t="n">
        <v>94.8</v>
      </c>
      <c r="R10" s="17" t="n">
        <v>83.8</v>
      </c>
      <c r="S10" s="17" t="n">
        <v>103</v>
      </c>
      <c r="T10" s="17" t="n">
        <v>116</v>
      </c>
      <c r="U10" s="17" t="n">
        <v>127.6</v>
      </c>
      <c r="V10" s="17" t="n">
        <v>119.9</v>
      </c>
      <c r="W10" s="17" t="n">
        <v>146.4</v>
      </c>
      <c r="X10" s="17" t="n">
        <v>161.9</v>
      </c>
      <c r="Y10" s="17" t="n">
        <v>170.6</v>
      </c>
    </row>
    <row r="11">
      <c r="A11" s="13" t="inlineStr">
        <is>
          <t>06:00</t>
        </is>
      </c>
      <c r="B11" s="17" t="n">
        <v>108</v>
      </c>
      <c r="C11" s="17" t="n">
        <v>114.8</v>
      </c>
      <c r="D11" s="17" t="n">
        <v>101.6</v>
      </c>
      <c r="E11" s="17" t="n">
        <v>126.9</v>
      </c>
      <c r="F11" s="17" t="n">
        <v>132.4</v>
      </c>
      <c r="G11" s="17" t="n">
        <v>126</v>
      </c>
      <c r="H11" s="17" t="n">
        <v>116</v>
      </c>
      <c r="I11" s="17" t="n">
        <v>107.8</v>
      </c>
      <c r="J11" s="17" t="n">
        <v>95.09999999999999</v>
      </c>
      <c r="K11" s="17" t="n">
        <v>99.59999999999999</v>
      </c>
      <c r="L11" s="17" t="n">
        <v>93.8</v>
      </c>
      <c r="M11" s="17" t="n">
        <v>91.7</v>
      </c>
      <c r="N11" s="17" t="n">
        <v>88.5</v>
      </c>
      <c r="O11" s="17" t="n">
        <v>91.7</v>
      </c>
      <c r="P11" s="17" t="n">
        <v>85.7</v>
      </c>
      <c r="Q11" s="17" t="n">
        <v>104.6</v>
      </c>
      <c r="R11" s="17" t="n">
        <v>92.40000000000001</v>
      </c>
      <c r="S11" s="17" t="n">
        <v>124.3</v>
      </c>
      <c r="T11" s="17" t="n">
        <v>132.2</v>
      </c>
      <c r="U11" s="17" t="n">
        <v>134</v>
      </c>
      <c r="V11" s="17" t="n">
        <v>126.9</v>
      </c>
      <c r="W11" s="17" t="n">
        <v>152.8</v>
      </c>
      <c r="X11" s="17" t="n">
        <v>168.8</v>
      </c>
      <c r="Y11" s="17" t="n">
        <v>191.6</v>
      </c>
    </row>
    <row r="12">
      <c r="A12" s="13" t="inlineStr">
        <is>
          <t>07:00</t>
        </is>
      </c>
      <c r="B12" s="17" t="n">
        <v>132.3</v>
      </c>
      <c r="C12" s="17" t="n">
        <v>138</v>
      </c>
      <c r="D12" s="17" t="n">
        <v>139</v>
      </c>
      <c r="E12" s="17" t="n">
        <v>157.6</v>
      </c>
      <c r="F12" s="17" t="n">
        <v>154.7</v>
      </c>
      <c r="G12" s="17" t="n">
        <v>146.1</v>
      </c>
      <c r="H12" s="17" t="n">
        <v>135.1</v>
      </c>
      <c r="I12" s="17" t="n">
        <v>125.2</v>
      </c>
      <c r="J12" s="17" t="n">
        <v>104</v>
      </c>
      <c r="K12" s="17" t="n">
        <v>108.7</v>
      </c>
      <c r="L12" s="17" t="n">
        <v>103.2</v>
      </c>
      <c r="M12" s="17" t="n">
        <v>118.3</v>
      </c>
      <c r="N12" s="17" t="n">
        <v>116.1</v>
      </c>
      <c r="O12" s="17" t="n">
        <v>115.3</v>
      </c>
      <c r="P12" s="17" t="n">
        <v>105.7</v>
      </c>
      <c r="Q12" s="17" t="n">
        <v>120.7</v>
      </c>
      <c r="R12" s="17" t="n">
        <v>104.2</v>
      </c>
      <c r="S12" s="17" t="n">
        <v>151</v>
      </c>
      <c r="T12" s="17" t="n">
        <v>157</v>
      </c>
      <c r="U12" s="17" t="n">
        <v>158.6</v>
      </c>
      <c r="V12" s="17" t="n">
        <v>143.4</v>
      </c>
      <c r="W12" s="17" t="n">
        <v>176.2</v>
      </c>
      <c r="X12" s="17" t="n">
        <v>176.9</v>
      </c>
      <c r="Y12" s="17" t="n">
        <v>212.9</v>
      </c>
    </row>
    <row r="13">
      <c r="A13" s="13" t="inlineStr">
        <is>
          <t>08:00</t>
        </is>
      </c>
      <c r="B13" s="17" t="n">
        <v>152.8</v>
      </c>
      <c r="C13" s="17" t="n">
        <v>156.6</v>
      </c>
      <c r="D13" s="17" t="n">
        <v>155.3</v>
      </c>
      <c r="E13" s="17" t="n">
        <v>182.7</v>
      </c>
      <c r="F13" s="17" t="n">
        <v>160</v>
      </c>
      <c r="G13" s="17" t="n">
        <v>150.3</v>
      </c>
      <c r="H13" s="17" t="n">
        <v>143.3</v>
      </c>
      <c r="I13" s="17" t="n">
        <v>134.4</v>
      </c>
      <c r="J13" s="17" t="n">
        <v>108.6</v>
      </c>
      <c r="K13" s="17" t="n">
        <v>113</v>
      </c>
      <c r="L13" s="17" t="n">
        <v>109.7</v>
      </c>
      <c r="M13" s="17" t="n">
        <v>131.7</v>
      </c>
      <c r="N13" s="17" t="n">
        <v>131.4</v>
      </c>
      <c r="O13" s="17" t="n">
        <v>136</v>
      </c>
      <c r="P13" s="17" t="n">
        <v>116.9</v>
      </c>
      <c r="Q13" s="17" t="n">
        <v>136.8</v>
      </c>
      <c r="R13" s="17" t="n">
        <v>113.2</v>
      </c>
      <c r="S13" s="17" t="n">
        <v>159.1</v>
      </c>
      <c r="T13" s="17" t="n">
        <v>165.4</v>
      </c>
      <c r="U13" s="17" t="n">
        <v>166.8</v>
      </c>
      <c r="V13" s="17" t="n">
        <v>146.1</v>
      </c>
      <c r="W13" s="17" t="n">
        <v>181.5</v>
      </c>
      <c r="X13" s="17" t="n">
        <v>183.4</v>
      </c>
      <c r="Y13" s="17" t="n">
        <v>220.1</v>
      </c>
    </row>
    <row r="14">
      <c r="A14" s="13" t="inlineStr">
        <is>
          <t>09:00</t>
        </is>
      </c>
      <c r="B14" s="17" t="n">
        <v>152.4</v>
      </c>
      <c r="C14" s="17" t="n">
        <v>169.2</v>
      </c>
      <c r="D14" s="17" t="n">
        <v>163.3</v>
      </c>
      <c r="E14" s="17" t="n">
        <v>197.9</v>
      </c>
      <c r="F14" s="17" t="n">
        <v>158.3</v>
      </c>
      <c r="G14" s="17" t="n">
        <v>142.6</v>
      </c>
      <c r="H14" s="17" t="n">
        <v>128.6</v>
      </c>
      <c r="I14" s="17" t="n">
        <v>124.2</v>
      </c>
      <c r="J14" s="17" t="n">
        <v>102.2</v>
      </c>
      <c r="K14" s="17" t="n">
        <v>107.2</v>
      </c>
      <c r="L14" s="17" t="n">
        <v>101.7</v>
      </c>
      <c r="M14" s="17" t="n">
        <v>122.2</v>
      </c>
      <c r="N14" s="17" t="n">
        <v>136.1</v>
      </c>
      <c r="O14" s="17" t="n">
        <v>145.1</v>
      </c>
      <c r="P14" s="17" t="n">
        <v>122.8</v>
      </c>
      <c r="Q14" s="17" t="n">
        <v>143.3</v>
      </c>
      <c r="R14" s="17" t="n">
        <v>116.3</v>
      </c>
      <c r="S14" s="17" t="n">
        <v>151.3</v>
      </c>
      <c r="T14" s="17" t="n">
        <v>158.5</v>
      </c>
      <c r="U14" s="17" t="n">
        <v>158.2</v>
      </c>
      <c r="V14" s="17" t="n">
        <v>135.9</v>
      </c>
      <c r="W14" s="17" t="n">
        <v>169.3</v>
      </c>
      <c r="X14" s="17" t="n">
        <v>174.6</v>
      </c>
      <c r="Y14" s="17" t="n">
        <v>208</v>
      </c>
    </row>
    <row r="15">
      <c r="A15" s="13" t="inlineStr">
        <is>
          <t>10:00</t>
        </is>
      </c>
      <c r="B15" s="17" t="n">
        <v>143</v>
      </c>
      <c r="C15" s="17" t="n">
        <v>165.2</v>
      </c>
      <c r="D15" s="17" t="n">
        <v>161.4</v>
      </c>
      <c r="E15" s="17" t="n">
        <v>194.2</v>
      </c>
      <c r="F15" s="17" t="n">
        <v>145.5</v>
      </c>
      <c r="G15" s="17" t="n">
        <v>122.6</v>
      </c>
      <c r="H15" s="17" t="n">
        <v>107.4</v>
      </c>
      <c r="I15" s="17" t="n">
        <v>105.1</v>
      </c>
      <c r="J15" s="17" t="n">
        <v>88.7</v>
      </c>
      <c r="K15" s="17" t="n">
        <v>98.7</v>
      </c>
      <c r="L15" s="17" t="n">
        <v>92.8</v>
      </c>
      <c r="M15" s="17" t="n">
        <v>99.59999999999999</v>
      </c>
      <c r="N15" s="17" t="n">
        <v>123</v>
      </c>
      <c r="O15" s="17" t="n">
        <v>136.5</v>
      </c>
      <c r="P15" s="17" t="n">
        <v>123.9</v>
      </c>
      <c r="Q15" s="17" t="n">
        <v>142.4</v>
      </c>
      <c r="R15" s="17" t="n">
        <v>111.1</v>
      </c>
      <c r="S15" s="17" t="n">
        <v>128.7</v>
      </c>
      <c r="T15" s="17" t="n">
        <v>132.5</v>
      </c>
      <c r="U15" s="17" t="n">
        <v>141</v>
      </c>
      <c r="V15" s="17" t="n">
        <v>120.9</v>
      </c>
      <c r="W15" s="17" t="n">
        <v>142.8</v>
      </c>
      <c r="X15" s="17" t="n">
        <v>158</v>
      </c>
      <c r="Y15" s="17" t="n">
        <v>172.4</v>
      </c>
    </row>
    <row r="16">
      <c r="A16" s="13" t="inlineStr">
        <is>
          <t>11:00</t>
        </is>
      </c>
      <c r="B16" s="17" t="n">
        <v>127</v>
      </c>
      <c r="C16" s="17" t="n">
        <v>160.2</v>
      </c>
      <c r="D16" s="17" t="n">
        <v>158.9</v>
      </c>
      <c r="E16" s="17" t="n">
        <v>188.9</v>
      </c>
      <c r="F16" s="17" t="n">
        <v>134.2</v>
      </c>
      <c r="G16" s="17" t="n">
        <v>108.3</v>
      </c>
      <c r="H16" s="17" t="n">
        <v>90.8</v>
      </c>
      <c r="I16" s="17" t="n">
        <v>93</v>
      </c>
      <c r="J16" s="17" t="n">
        <v>79.90000000000001</v>
      </c>
      <c r="K16" s="17" t="n">
        <v>90.5</v>
      </c>
      <c r="L16" s="17" t="n">
        <v>82.40000000000001</v>
      </c>
      <c r="M16" s="17" t="n">
        <v>80.59999999999999</v>
      </c>
      <c r="N16" s="17" t="n">
        <v>105.1</v>
      </c>
      <c r="O16" s="17" t="n">
        <v>126.5</v>
      </c>
      <c r="P16" s="17" t="n">
        <v>120.8</v>
      </c>
      <c r="Q16" s="17" t="n">
        <v>138.6</v>
      </c>
      <c r="R16" s="17" t="n">
        <v>105.4</v>
      </c>
      <c r="S16" s="17" t="n">
        <v>110.6</v>
      </c>
      <c r="T16" s="17" t="n">
        <v>112.2</v>
      </c>
      <c r="U16" s="17" t="n">
        <v>133.8</v>
      </c>
      <c r="V16" s="17" t="n">
        <v>114.2</v>
      </c>
      <c r="W16" s="17" t="n">
        <v>127.9</v>
      </c>
      <c r="X16" s="17" t="n">
        <v>146.1</v>
      </c>
      <c r="Y16" s="17" t="n">
        <v>142.8</v>
      </c>
    </row>
    <row r="17">
      <c r="A17" s="13" t="inlineStr">
        <is>
          <t>12:00</t>
        </is>
      </c>
      <c r="B17" s="17" t="n">
        <v>120.6</v>
      </c>
      <c r="C17" s="17" t="n">
        <v>163.2</v>
      </c>
      <c r="D17" s="17" t="n">
        <v>161.6</v>
      </c>
      <c r="E17" s="17" t="n">
        <v>189.5</v>
      </c>
      <c r="F17" s="17" t="n">
        <v>130.4</v>
      </c>
      <c r="G17" s="17" t="n">
        <v>103.9</v>
      </c>
      <c r="H17" s="17" t="n">
        <v>85.59999999999999</v>
      </c>
      <c r="I17" s="17" t="n">
        <v>87.90000000000001</v>
      </c>
      <c r="J17" s="17" t="n">
        <v>73.90000000000001</v>
      </c>
      <c r="K17" s="17" t="n">
        <v>85.7</v>
      </c>
      <c r="L17" s="17" t="n">
        <v>77.90000000000001</v>
      </c>
      <c r="M17" s="17" t="n">
        <v>75.09999999999999</v>
      </c>
      <c r="N17" s="17" t="n">
        <v>97.8</v>
      </c>
      <c r="O17" s="17" t="n">
        <v>124.5</v>
      </c>
      <c r="P17" s="17" t="n">
        <v>120.2</v>
      </c>
      <c r="Q17" s="17" t="n">
        <v>135.2</v>
      </c>
      <c r="R17" s="17" t="n">
        <v>106.3</v>
      </c>
      <c r="S17" s="17" t="n">
        <v>103.3</v>
      </c>
      <c r="T17" s="17" t="n">
        <v>99.40000000000001</v>
      </c>
      <c r="U17" s="17" t="n">
        <v>126.9</v>
      </c>
      <c r="V17" s="17" t="n">
        <v>106.7</v>
      </c>
      <c r="W17" s="17" t="n">
        <v>121.5</v>
      </c>
      <c r="X17" s="17" t="n">
        <v>142.3</v>
      </c>
      <c r="Y17" s="17" t="n">
        <v>132.2</v>
      </c>
    </row>
    <row r="18">
      <c r="A18" s="13" t="inlineStr">
        <is>
          <t>13:00</t>
        </is>
      </c>
      <c r="B18" s="17" t="n">
        <v>112.8</v>
      </c>
      <c r="C18" s="17" t="n">
        <v>162.1</v>
      </c>
      <c r="D18" s="17" t="n">
        <v>163.4</v>
      </c>
      <c r="E18" s="17" t="n">
        <v>187.3</v>
      </c>
      <c r="F18" s="17" t="n">
        <v>128.2</v>
      </c>
      <c r="G18" s="17" t="n">
        <v>102.6</v>
      </c>
      <c r="H18" s="17" t="n">
        <v>79.5</v>
      </c>
      <c r="I18" s="17" t="n">
        <v>84.40000000000001</v>
      </c>
      <c r="J18" s="17" t="n">
        <v>66.5</v>
      </c>
      <c r="K18" s="17" t="n">
        <v>80.7</v>
      </c>
      <c r="L18" s="17" t="n">
        <v>74.2</v>
      </c>
      <c r="M18" s="17" t="n">
        <v>71.40000000000001</v>
      </c>
      <c r="N18" s="17" t="n">
        <v>91.8</v>
      </c>
      <c r="O18" s="17" t="n">
        <v>125.5</v>
      </c>
      <c r="P18" s="17" t="n">
        <v>122.2</v>
      </c>
      <c r="Q18" s="17" t="n">
        <v>134.4</v>
      </c>
      <c r="R18" s="17" t="n">
        <v>104.7</v>
      </c>
      <c r="S18" s="17" t="n">
        <v>101.4</v>
      </c>
      <c r="T18" s="17" t="n">
        <v>90.3</v>
      </c>
      <c r="U18" s="17" t="n">
        <v>121.5</v>
      </c>
      <c r="V18" s="17" t="n">
        <v>101.8</v>
      </c>
      <c r="W18" s="17" t="n">
        <v>117.8</v>
      </c>
      <c r="X18" s="17" t="n">
        <v>140.2</v>
      </c>
      <c r="Y18" s="17" t="n">
        <v>125.7</v>
      </c>
    </row>
    <row r="19">
      <c r="A19" s="13" t="inlineStr">
        <is>
          <t>14:00</t>
        </is>
      </c>
      <c r="B19" s="17" t="n">
        <v>111.6</v>
      </c>
      <c r="C19" s="17" t="n">
        <v>166.5</v>
      </c>
      <c r="D19" s="17" t="n">
        <v>165.2</v>
      </c>
      <c r="E19" s="17" t="n">
        <v>186.5</v>
      </c>
      <c r="F19" s="17" t="n">
        <v>130.6</v>
      </c>
      <c r="G19" s="17" t="n">
        <v>105.1</v>
      </c>
      <c r="H19" s="17" t="n">
        <v>77.40000000000001</v>
      </c>
      <c r="I19" s="17" t="n">
        <v>81.5</v>
      </c>
      <c r="J19" s="17" t="n">
        <v>62.8</v>
      </c>
      <c r="K19" s="17" t="n">
        <v>78.59999999999999</v>
      </c>
      <c r="L19" s="17" t="n">
        <v>73.40000000000001</v>
      </c>
      <c r="M19" s="17" t="n">
        <v>69.3</v>
      </c>
      <c r="N19" s="17" t="n">
        <v>91.09999999999999</v>
      </c>
      <c r="O19" s="17" t="n">
        <v>132.3</v>
      </c>
      <c r="P19" s="17" t="n">
        <v>121.5</v>
      </c>
      <c r="Q19" s="17" t="n">
        <v>133.8</v>
      </c>
      <c r="R19" s="17" t="n">
        <v>103.5</v>
      </c>
      <c r="S19" s="17" t="n">
        <v>100.8</v>
      </c>
      <c r="T19" s="17" t="n">
        <v>84.90000000000001</v>
      </c>
      <c r="U19" s="17" t="n">
        <v>118</v>
      </c>
      <c r="V19" s="17" t="n">
        <v>97.5</v>
      </c>
      <c r="W19" s="17" t="n">
        <v>114.9</v>
      </c>
      <c r="X19" s="17" t="n">
        <v>136.3</v>
      </c>
      <c r="Y19" s="17" t="n">
        <v>122.9</v>
      </c>
    </row>
    <row r="20">
      <c r="A20" s="13" t="inlineStr">
        <is>
          <t>15:00</t>
        </is>
      </c>
      <c r="B20" s="17" t="n">
        <v>120.2</v>
      </c>
      <c r="C20" s="17" t="n">
        <v>176.7</v>
      </c>
      <c r="D20" s="17" t="n">
        <v>175.1</v>
      </c>
      <c r="E20" s="17" t="n">
        <v>193.1</v>
      </c>
      <c r="F20" s="17" t="n">
        <v>144.4</v>
      </c>
      <c r="G20" s="17" t="n">
        <v>114.6</v>
      </c>
      <c r="H20" s="17" t="n">
        <v>79.8</v>
      </c>
      <c r="I20" s="17" t="n">
        <v>80.59999999999999</v>
      </c>
      <c r="J20" s="17" t="n">
        <v>62.8</v>
      </c>
      <c r="K20" s="17" t="n">
        <v>79.40000000000001</v>
      </c>
      <c r="L20" s="17" t="n">
        <v>76.2</v>
      </c>
      <c r="M20" s="17" t="n">
        <v>74.7</v>
      </c>
      <c r="N20" s="17" t="n">
        <v>96.3</v>
      </c>
      <c r="O20" s="17" t="n">
        <v>145.9</v>
      </c>
      <c r="P20" s="17" t="n">
        <v>125.1</v>
      </c>
      <c r="Q20" s="17" t="n">
        <v>139.5</v>
      </c>
      <c r="R20" s="17" t="n">
        <v>108.6</v>
      </c>
      <c r="S20" s="17" t="n">
        <v>108.8</v>
      </c>
      <c r="T20" s="17" t="n">
        <v>83</v>
      </c>
      <c r="U20" s="17" t="n">
        <v>115.6</v>
      </c>
      <c r="V20" s="17" t="n">
        <v>97.90000000000001</v>
      </c>
      <c r="W20" s="17" t="n">
        <v>113.9</v>
      </c>
      <c r="X20" s="17" t="n">
        <v>136.3</v>
      </c>
      <c r="Y20" s="17" t="n">
        <v>133.3</v>
      </c>
    </row>
    <row r="21">
      <c r="A21" s="13" t="inlineStr">
        <is>
          <t>16:00</t>
        </is>
      </c>
      <c r="B21" s="17" t="n">
        <v>146.3</v>
      </c>
      <c r="C21" s="17" t="n">
        <v>206.6</v>
      </c>
      <c r="D21" s="17" t="n">
        <v>199.5</v>
      </c>
      <c r="E21" s="17" t="n">
        <v>221.7</v>
      </c>
      <c r="F21" s="17" t="n">
        <v>171.4</v>
      </c>
      <c r="G21" s="17" t="n">
        <v>136.9</v>
      </c>
      <c r="H21" s="17" t="n">
        <v>95</v>
      </c>
      <c r="I21" s="17" t="n">
        <v>91.2</v>
      </c>
      <c r="J21" s="17" t="n">
        <v>75.40000000000001</v>
      </c>
      <c r="K21" s="17" t="n">
        <v>88</v>
      </c>
      <c r="L21" s="17" t="n">
        <v>88.3</v>
      </c>
      <c r="M21" s="17" t="n">
        <v>97.2</v>
      </c>
      <c r="N21" s="17" t="n">
        <v>109.7</v>
      </c>
      <c r="O21" s="17" t="n">
        <v>167.3</v>
      </c>
      <c r="P21" s="17" t="n">
        <v>139.7</v>
      </c>
      <c r="Q21" s="17" t="n">
        <v>154.5</v>
      </c>
      <c r="R21" s="17" t="n">
        <v>120.2</v>
      </c>
      <c r="S21" s="17" t="n">
        <v>131.7</v>
      </c>
      <c r="T21" s="17" t="n">
        <v>95.8</v>
      </c>
      <c r="U21" s="17" t="n">
        <v>123.5</v>
      </c>
      <c r="V21" s="17" t="n">
        <v>114.6</v>
      </c>
      <c r="W21" s="17" t="n">
        <v>120.7</v>
      </c>
      <c r="X21" s="17" t="n">
        <v>148.5</v>
      </c>
      <c r="Y21" s="17" t="n">
        <v>163.3</v>
      </c>
    </row>
    <row r="22">
      <c r="A22" s="13" t="inlineStr">
        <is>
          <t>17:00</t>
        </is>
      </c>
      <c r="B22" s="17" t="n">
        <v>180.7</v>
      </c>
      <c r="C22" s="17" t="n">
        <v>241.6</v>
      </c>
      <c r="D22" s="17" t="n">
        <v>214.6</v>
      </c>
      <c r="E22" s="17" t="n">
        <v>252.2</v>
      </c>
      <c r="F22" s="17" t="n">
        <v>201.3</v>
      </c>
      <c r="G22" s="17" t="n">
        <v>178.4</v>
      </c>
      <c r="H22" s="17" t="n">
        <v>119.8</v>
      </c>
      <c r="I22" s="17" t="n">
        <v>113.3</v>
      </c>
      <c r="J22" s="17" t="n">
        <v>97.5</v>
      </c>
      <c r="K22" s="17" t="n">
        <v>102.6</v>
      </c>
      <c r="L22" s="17" t="n">
        <v>107.8</v>
      </c>
      <c r="M22" s="17" t="n">
        <v>126.7</v>
      </c>
      <c r="N22" s="17" t="n">
        <v>136.7</v>
      </c>
      <c r="O22" s="17" t="n">
        <v>194.4</v>
      </c>
      <c r="P22" s="17" t="n">
        <v>154.9</v>
      </c>
      <c r="Q22" s="17" t="n">
        <v>176.7</v>
      </c>
      <c r="R22" s="17" t="n">
        <v>140.3</v>
      </c>
      <c r="S22" s="17" t="n">
        <v>168.7</v>
      </c>
      <c r="T22" s="17" t="n">
        <v>126.5</v>
      </c>
      <c r="U22" s="17" t="n">
        <v>139.6</v>
      </c>
      <c r="V22" s="17" t="n">
        <v>140.1</v>
      </c>
      <c r="W22" s="17" t="n">
        <v>141.2</v>
      </c>
      <c r="X22" s="17" t="n">
        <v>177.2</v>
      </c>
      <c r="Y22" s="17" t="n">
        <v>209.7</v>
      </c>
    </row>
    <row r="23">
      <c r="A23" s="13" t="inlineStr">
        <is>
          <t>18:00</t>
        </is>
      </c>
      <c r="B23" s="17" t="n">
        <v>191.1</v>
      </c>
      <c r="C23" s="17" t="n">
        <v>223.8</v>
      </c>
      <c r="D23" s="17" t="n">
        <v>196.9</v>
      </c>
      <c r="E23" s="17" t="n">
        <v>239.8</v>
      </c>
      <c r="F23" s="17" t="n">
        <v>208.9</v>
      </c>
      <c r="G23" s="17" t="n">
        <v>199.1</v>
      </c>
      <c r="H23" s="17" t="n">
        <v>148.2</v>
      </c>
      <c r="I23" s="17" t="n">
        <v>130.6</v>
      </c>
      <c r="J23" s="17" t="n">
        <v>115.2</v>
      </c>
      <c r="K23" s="17" t="n">
        <v>115.8</v>
      </c>
      <c r="L23" s="17" t="n">
        <v>124.7</v>
      </c>
      <c r="M23" s="17" t="n">
        <v>140.8</v>
      </c>
      <c r="N23" s="17" t="n">
        <v>152.3</v>
      </c>
      <c r="O23" s="17" t="n">
        <v>191.9</v>
      </c>
      <c r="P23" s="17" t="n">
        <v>146.4</v>
      </c>
      <c r="Q23" s="17" t="n">
        <v>174.8</v>
      </c>
      <c r="R23" s="17" t="n">
        <v>151.1</v>
      </c>
      <c r="S23" s="17" t="n">
        <v>189.5</v>
      </c>
      <c r="T23" s="17" t="n">
        <v>154.7</v>
      </c>
      <c r="U23" s="17" t="n">
        <v>163.3</v>
      </c>
      <c r="V23" s="17" t="n">
        <v>165.7</v>
      </c>
      <c r="W23" s="17" t="n">
        <v>171.9</v>
      </c>
      <c r="X23" s="17" t="n">
        <v>210.9</v>
      </c>
      <c r="Y23" s="17" t="n">
        <v>240.6</v>
      </c>
    </row>
    <row r="24">
      <c r="A24" s="13" t="inlineStr">
        <is>
          <t>19:00</t>
        </is>
      </c>
      <c r="B24" s="17" t="n">
        <v>173.6</v>
      </c>
      <c r="C24" s="17" t="n">
        <v>179.8</v>
      </c>
      <c r="D24" s="17" t="n">
        <v>170.2</v>
      </c>
      <c r="E24" s="17" t="n">
        <v>201.6</v>
      </c>
      <c r="F24" s="17" t="n">
        <v>185.8</v>
      </c>
      <c r="G24" s="17" t="n">
        <v>200.3</v>
      </c>
      <c r="H24" s="17" t="n">
        <v>158.7</v>
      </c>
      <c r="I24" s="17" t="n">
        <v>141.8</v>
      </c>
      <c r="J24" s="17" t="n">
        <v>130.2</v>
      </c>
      <c r="K24" s="17" t="n">
        <v>126</v>
      </c>
      <c r="L24" s="17" t="n">
        <v>131.5</v>
      </c>
      <c r="M24" s="17" t="n">
        <v>140.5</v>
      </c>
      <c r="N24" s="17" t="n">
        <v>147.3</v>
      </c>
      <c r="O24" s="17" t="n">
        <v>166.8</v>
      </c>
      <c r="P24" s="17" t="n">
        <v>130.3</v>
      </c>
      <c r="Q24" s="17" t="n">
        <v>154.2</v>
      </c>
      <c r="R24" s="17" t="n">
        <v>142.2</v>
      </c>
      <c r="S24" s="17" t="n">
        <v>187.7</v>
      </c>
      <c r="T24" s="17" t="n">
        <v>167.9</v>
      </c>
      <c r="U24" s="17" t="n">
        <v>174.8</v>
      </c>
      <c r="V24" s="17" t="n">
        <v>180.6</v>
      </c>
      <c r="W24" s="17" t="n">
        <v>188.1</v>
      </c>
      <c r="X24" s="17" t="n">
        <v>221.5</v>
      </c>
      <c r="Y24" s="17" t="n">
        <v>244.2</v>
      </c>
    </row>
    <row r="25">
      <c r="A25" s="13" t="inlineStr">
        <is>
          <t>20:00</t>
        </is>
      </c>
      <c r="B25" s="17" t="n">
        <v>146.7</v>
      </c>
      <c r="C25" s="17" t="n">
        <v>155.9</v>
      </c>
      <c r="D25" s="17" t="n">
        <v>155.9</v>
      </c>
      <c r="E25" s="17" t="n">
        <v>175.6</v>
      </c>
      <c r="F25" s="17" t="n">
        <v>158.4</v>
      </c>
      <c r="G25" s="17" t="n">
        <v>179.3</v>
      </c>
      <c r="H25" s="17" t="n">
        <v>162.5</v>
      </c>
      <c r="I25" s="17" t="n">
        <v>144.3</v>
      </c>
      <c r="J25" s="17" t="n">
        <v>135.3</v>
      </c>
      <c r="K25" s="17" t="n">
        <v>128.2</v>
      </c>
      <c r="L25" s="17" t="n">
        <v>131</v>
      </c>
      <c r="M25" s="17" t="n">
        <v>134.9</v>
      </c>
      <c r="N25" s="17" t="n">
        <v>132.4</v>
      </c>
      <c r="O25" s="17" t="n">
        <v>147.3</v>
      </c>
      <c r="P25" s="17" t="n">
        <v>116.2</v>
      </c>
      <c r="Q25" s="17" t="n">
        <v>142</v>
      </c>
      <c r="R25" s="17" t="n">
        <v>130.5</v>
      </c>
      <c r="S25" s="17" t="n">
        <v>169.3</v>
      </c>
      <c r="T25" s="17" t="n">
        <v>176.9</v>
      </c>
      <c r="U25" s="17" t="n">
        <v>179.1</v>
      </c>
      <c r="V25" s="17" t="n">
        <v>186.1</v>
      </c>
      <c r="W25" s="17" t="n">
        <v>195.7</v>
      </c>
      <c r="X25" s="17" t="n">
        <v>218.7</v>
      </c>
      <c r="Y25" s="17" t="n">
        <v>242</v>
      </c>
    </row>
    <row r="26">
      <c r="A26" s="13" t="inlineStr">
        <is>
          <t>21:00</t>
        </is>
      </c>
      <c r="B26" s="17" t="n">
        <v>122.3</v>
      </c>
      <c r="C26" s="17" t="n">
        <v>134.2</v>
      </c>
      <c r="D26" s="17" t="n">
        <v>134.9</v>
      </c>
      <c r="E26" s="17" t="n">
        <v>151.6</v>
      </c>
      <c r="F26" s="17" t="n">
        <v>140</v>
      </c>
      <c r="G26" s="17" t="n">
        <v>156.2</v>
      </c>
      <c r="H26" s="17" t="n">
        <v>149.9</v>
      </c>
      <c r="I26" s="17" t="n">
        <v>144.6</v>
      </c>
      <c r="J26" s="17" t="n">
        <v>135.7</v>
      </c>
      <c r="K26" s="17" t="n">
        <v>126.6</v>
      </c>
      <c r="L26" s="17" t="n">
        <v>124.3</v>
      </c>
      <c r="M26" s="17" t="n">
        <v>118.3</v>
      </c>
      <c r="N26" s="17" t="n">
        <v>107.4</v>
      </c>
      <c r="O26" s="17" t="n">
        <v>134.4</v>
      </c>
      <c r="P26" s="17" t="n">
        <v>111.5</v>
      </c>
      <c r="Q26" s="17" t="n">
        <v>128.5</v>
      </c>
      <c r="R26" s="17" t="n">
        <v>121.5</v>
      </c>
      <c r="S26" s="17" t="n">
        <v>149.1</v>
      </c>
      <c r="T26" s="17" t="n">
        <v>186.1</v>
      </c>
      <c r="U26" s="17" t="n">
        <v>182.4</v>
      </c>
      <c r="V26" s="17" t="n">
        <v>186.5</v>
      </c>
      <c r="W26" s="17" t="n">
        <v>196.7</v>
      </c>
      <c r="X26" s="17" t="n">
        <v>217</v>
      </c>
      <c r="Y26" s="17" t="n">
        <v>229.9</v>
      </c>
    </row>
    <row r="27">
      <c r="A27" s="13" t="inlineStr">
        <is>
          <t>22:00</t>
        </is>
      </c>
      <c r="B27" s="17" t="n">
        <v>101.1</v>
      </c>
      <c r="C27" s="17" t="n">
        <v>115.4</v>
      </c>
      <c r="D27" s="17" t="n">
        <v>110.5</v>
      </c>
      <c r="E27" s="17" t="n">
        <v>125.7</v>
      </c>
      <c r="F27" s="17" t="n">
        <v>121.6</v>
      </c>
      <c r="G27" s="17" t="n">
        <v>129.7</v>
      </c>
      <c r="H27" s="17" t="n">
        <v>119.3</v>
      </c>
      <c r="I27" s="17" t="n">
        <v>122.3</v>
      </c>
      <c r="J27" s="17" t="n">
        <v>129.8</v>
      </c>
      <c r="K27" s="17" t="n">
        <v>117.3</v>
      </c>
      <c r="L27" s="17" t="n">
        <v>111.4</v>
      </c>
      <c r="M27" s="17" t="n">
        <v>94.09999999999999</v>
      </c>
      <c r="N27" s="17" t="n">
        <v>83.40000000000001</v>
      </c>
      <c r="O27" s="17" t="n">
        <v>106.8</v>
      </c>
      <c r="P27" s="17" t="n">
        <v>95.2</v>
      </c>
      <c r="Q27" s="17" t="n">
        <v>110.8</v>
      </c>
      <c r="R27" s="17" t="n">
        <v>101.2</v>
      </c>
      <c r="S27" s="17" t="n">
        <v>125.5</v>
      </c>
      <c r="T27" s="17" t="n">
        <v>166.9</v>
      </c>
      <c r="U27" s="17" t="n">
        <v>172</v>
      </c>
      <c r="V27" s="17" t="n">
        <v>176.8</v>
      </c>
      <c r="W27" s="17" t="n">
        <v>194.1</v>
      </c>
      <c r="X27" s="17" t="n">
        <v>204.1</v>
      </c>
      <c r="Y27" s="17" t="n">
        <v>205.4</v>
      </c>
    </row>
    <row r="28">
      <c r="A28" s="13" t="inlineStr">
        <is>
          <t>23:00</t>
        </is>
      </c>
      <c r="B28" s="17" t="n">
        <v>96.40000000000001</v>
      </c>
      <c r="C28" s="17" t="n">
        <v>115.1</v>
      </c>
      <c r="D28" s="17" t="n">
        <v>112</v>
      </c>
      <c r="E28" s="17" t="n">
        <v>125.6</v>
      </c>
      <c r="F28" s="17" t="n">
        <v>118.4</v>
      </c>
      <c r="G28" s="17" t="n">
        <v>123.1</v>
      </c>
      <c r="H28" s="17" t="n">
        <v>106</v>
      </c>
      <c r="I28" s="17" t="n">
        <v>116.9</v>
      </c>
      <c r="J28" s="17" t="n">
        <v>110.6</v>
      </c>
      <c r="K28" s="17" t="n">
        <v>106.5</v>
      </c>
      <c r="L28" s="17" t="n">
        <v>102.9</v>
      </c>
      <c r="M28" s="17" t="n">
        <v>77.5</v>
      </c>
      <c r="N28" s="17" t="n">
        <v>76.7</v>
      </c>
      <c r="O28" s="17" t="n">
        <v>96.7</v>
      </c>
      <c r="P28" s="17" t="n">
        <v>86</v>
      </c>
      <c r="Q28" s="17" t="n">
        <v>104.9</v>
      </c>
      <c r="R28" s="17" t="n">
        <v>98</v>
      </c>
      <c r="S28" s="17" t="n">
        <v>118.4</v>
      </c>
      <c r="T28" s="17" t="n">
        <v>145</v>
      </c>
      <c r="U28" s="17" t="n">
        <v>160.2</v>
      </c>
      <c r="V28" s="17" t="n">
        <v>156.1</v>
      </c>
      <c r="W28" s="17" t="n">
        <v>187.8</v>
      </c>
      <c r="X28" s="17" t="n">
        <v>186.8</v>
      </c>
      <c r="Y28" s="17" t="n">
        <v>188.7</v>
      </c>
    </row>
  </sheetData>
  <conditionalFormatting sqref="B5:Y28">
    <cfRule type="colorScale" priority="1">
      <colorScale>
        <cfvo type="min"/>
        <cfvo type="percentile" val="50"/>
        <cfvo type="max"/>
        <color rgb="002A78D6"/>
        <color rgb="00F7F7F5"/>
        <color rgb="00E34948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8" customWidth="1" min="4" max="4"/>
    <col width="14" customWidth="1" min="5" max="5"/>
    <col width="16" customWidth="1" min="6" max="6"/>
    <col width="20" customWidth="1" min="7" max="7"/>
  </cols>
  <sheetData>
    <row r="1">
      <c r="A1" s="1" t="inlineStr">
        <is>
          <t>Battery DAM arbitrage revenue, 1 MW / 2 MWh, 88% RTE, test year (EUR per MW)</t>
        </is>
      </c>
    </row>
    <row r="2">
      <c r="A2" s="2" t="inlineStr">
        <is>
          <t>Perfect foresight = upper bound. Forecast = optimised on the LightGBM forecast, settled at actual prices. Rule = fixed seasonal hours from Year 1. DAM only - excludes system services, capacity, intraday, balancing.</t>
        </is>
      </c>
    </row>
    <row r="4" ht="32" customHeight="1">
      <c r="A4" s="3" t="inlineStr">
        <is>
          <t>Month</t>
        </is>
      </c>
      <c r="B4" s="3" t="inlineStr">
        <is>
          <t>Perfect foresight</t>
        </is>
      </c>
      <c r="C4" s="3" t="inlineStr">
        <is>
          <t>Forecast (LightGBM)</t>
        </is>
      </c>
      <c r="D4" s="3" t="inlineStr">
        <is>
          <t>Forecast (naive)</t>
        </is>
      </c>
      <c r="E4" s="3" t="inlineStr">
        <is>
          <t>Simple rule</t>
        </is>
      </c>
      <c r="F4" s="3" t="inlineStr">
        <is>
          <t>Forecast capture</t>
        </is>
      </c>
      <c r="G4" s="3" t="inlineStr">
        <is>
          <t>Value of forecasting</t>
        </is>
      </c>
    </row>
    <row r="5">
      <c r="A5" t="inlineStr">
        <is>
          <t>Oct 2025</t>
        </is>
      </c>
      <c r="B5" s="18" t="n">
        <v>5274.31</v>
      </c>
      <c r="C5" s="18" t="n">
        <v>4261.35</v>
      </c>
      <c r="D5" s="18" t="n">
        <v>3088.72</v>
      </c>
      <c r="E5" s="18" t="n">
        <v>3324.21</v>
      </c>
      <c r="F5" s="19">
        <f>C5/B5</f>
        <v/>
      </c>
      <c r="G5" s="18">
        <f>C5-E5</f>
        <v/>
      </c>
    </row>
    <row r="6">
      <c r="A6" t="inlineStr">
        <is>
          <t>Nov 2025</t>
        </is>
      </c>
      <c r="B6" s="18" t="n">
        <v>5976.96</v>
      </c>
      <c r="C6" s="18" t="n">
        <v>5428.91</v>
      </c>
      <c r="D6" s="18" t="n">
        <v>4606.43</v>
      </c>
      <c r="E6" s="18" t="n">
        <v>5486.4</v>
      </c>
      <c r="F6" s="19">
        <f>C6/B6</f>
        <v/>
      </c>
      <c r="G6" s="18">
        <f>C6-E6</f>
        <v/>
      </c>
    </row>
    <row r="7">
      <c r="A7" t="inlineStr">
        <is>
          <t>Dec 2025</t>
        </is>
      </c>
      <c r="B7" s="18" t="n">
        <v>4197.46</v>
      </c>
      <c r="C7" s="18" t="n">
        <v>3339.95</v>
      </c>
      <c r="D7" s="18" t="n">
        <v>2720.38</v>
      </c>
      <c r="E7" s="18" t="n">
        <v>3565.19</v>
      </c>
      <c r="F7" s="19">
        <f>C7/B7</f>
        <v/>
      </c>
      <c r="G7" s="18">
        <f>C7-E7</f>
        <v/>
      </c>
    </row>
    <row r="8">
      <c r="A8" t="inlineStr">
        <is>
          <t>Jan 2026</t>
        </is>
      </c>
      <c r="B8" s="18" t="n">
        <v>4288.43</v>
      </c>
      <c r="C8" s="18" t="n">
        <v>3631.16</v>
      </c>
      <c r="D8" s="18" t="n">
        <v>3474.31</v>
      </c>
      <c r="E8" s="18" t="n">
        <v>3604</v>
      </c>
      <c r="F8" s="19">
        <f>C8/B8</f>
        <v/>
      </c>
      <c r="G8" s="18">
        <f>C8-E8</f>
        <v/>
      </c>
    </row>
    <row r="9">
      <c r="A9" t="inlineStr">
        <is>
          <t>Feb 2026</t>
        </is>
      </c>
      <c r="B9" s="18" t="n">
        <v>3014.64</v>
      </c>
      <c r="C9" s="18" t="n">
        <v>2508.66</v>
      </c>
      <c r="D9" s="18" t="n">
        <v>1831.08</v>
      </c>
      <c r="E9" s="18" t="n">
        <v>2187.08</v>
      </c>
      <c r="F9" s="19">
        <f>C9/B9</f>
        <v/>
      </c>
      <c r="G9" s="18">
        <f>C9-E9</f>
        <v/>
      </c>
    </row>
    <row r="10">
      <c r="A10" t="inlineStr">
        <is>
          <t>Mar 2026</t>
        </is>
      </c>
      <c r="B10" s="18" t="n">
        <v>5351.37</v>
      </c>
      <c r="C10" s="18" t="n">
        <v>4258.64</v>
      </c>
      <c r="D10" s="18" t="n">
        <v>2650.33</v>
      </c>
      <c r="E10" s="18" t="n">
        <v>3251.56</v>
      </c>
      <c r="F10" s="19">
        <f>C10/B10</f>
        <v/>
      </c>
      <c r="G10" s="18">
        <f>C10-E10</f>
        <v/>
      </c>
    </row>
    <row r="11">
      <c r="A11" t="inlineStr">
        <is>
          <t>Apr 2026</t>
        </is>
      </c>
      <c r="B11" s="18" t="n">
        <v>4932.71</v>
      </c>
      <c r="C11" s="18" t="n">
        <v>3176.02</v>
      </c>
      <c r="D11" s="18" t="n">
        <v>2675.67</v>
      </c>
      <c r="E11" s="18" t="n">
        <v>3252.04</v>
      </c>
      <c r="F11" s="19">
        <f>C11/B11</f>
        <v/>
      </c>
      <c r="G11" s="18">
        <f>C11-E11</f>
        <v/>
      </c>
    </row>
    <row r="12">
      <c r="A12" t="inlineStr">
        <is>
          <t>May 2026</t>
        </is>
      </c>
      <c r="B12" s="18" t="n">
        <v>3207.41</v>
      </c>
      <c r="C12" s="18" t="n">
        <v>2524.69</v>
      </c>
      <c r="D12" s="18" t="n">
        <v>1583.99</v>
      </c>
      <c r="E12" s="18" t="n">
        <v>2110.84</v>
      </c>
      <c r="F12" s="19">
        <f>C12/B12</f>
        <v/>
      </c>
      <c r="G12" s="18">
        <f>C12-E12</f>
        <v/>
      </c>
    </row>
    <row r="13">
      <c r="A13" t="inlineStr">
        <is>
          <t>Jun 2026</t>
        </is>
      </c>
      <c r="B13" s="18" t="n">
        <v>4565.27</v>
      </c>
      <c r="C13" s="18" t="n">
        <v>3694.4</v>
      </c>
      <c r="D13" s="18" t="n">
        <v>2757.36</v>
      </c>
      <c r="E13" s="18" t="n">
        <v>3635.5</v>
      </c>
      <c r="F13" s="19">
        <f>C13/B13</f>
        <v/>
      </c>
      <c r="G13" s="18">
        <f>C13-E13</f>
        <v/>
      </c>
    </row>
    <row r="14">
      <c r="A14" t="inlineStr">
        <is>
          <t>Jul 2026</t>
        </is>
      </c>
      <c r="B14" s="18" t="n">
        <v>4211.48</v>
      </c>
      <c r="C14" s="18" t="n">
        <v>3114.81</v>
      </c>
      <c r="D14" s="18" t="n">
        <v>2738.17</v>
      </c>
      <c r="E14" s="18" t="n">
        <v>3200.14</v>
      </c>
      <c r="F14" s="19">
        <f>C14/B14</f>
        <v/>
      </c>
      <c r="G14" s="18">
        <f>C14-E14</f>
        <v/>
      </c>
    </row>
    <row r="15">
      <c r="A15" t="inlineStr">
        <is>
          <t>Aug 2026</t>
        </is>
      </c>
      <c r="B15" s="18" t="n">
        <v>3961.03</v>
      </c>
      <c r="C15" s="18" t="n">
        <v>3203.04</v>
      </c>
      <c r="D15" s="18" t="n">
        <v>2836.7</v>
      </c>
      <c r="E15" s="18" t="n">
        <v>3423.88</v>
      </c>
      <c r="F15" s="19">
        <f>C15/B15</f>
        <v/>
      </c>
      <c r="G15" s="18">
        <f>C15-E15</f>
        <v/>
      </c>
    </row>
    <row r="16">
      <c r="A16" t="inlineStr">
        <is>
          <t>Sep 2026</t>
        </is>
      </c>
      <c r="B16" s="18" t="n">
        <v>6656.77</v>
      </c>
      <c r="C16" s="18" t="n">
        <v>5254.7</v>
      </c>
      <c r="D16" s="18" t="n">
        <v>2463.93</v>
      </c>
      <c r="E16" s="18" t="n">
        <v>1960.18</v>
      </c>
      <c r="F16" s="19">
        <f>C16/B16</f>
        <v/>
      </c>
      <c r="G16" s="18">
        <f>C16-E16</f>
        <v/>
      </c>
    </row>
    <row r="17">
      <c r="A17" s="13" t="inlineStr">
        <is>
          <t>Total (scored days)</t>
        </is>
      </c>
      <c r="B17" s="20">
        <f>SUM(B5:B16)</f>
        <v/>
      </c>
      <c r="C17" s="20">
        <f>SUM(C5:C16)</f>
        <v/>
      </c>
      <c r="D17" s="20">
        <f>SUM(D5:D16)</f>
        <v/>
      </c>
      <c r="E17" s="20">
        <f>SUM(E5:E16)</f>
        <v/>
      </c>
      <c r="F17" s="21">
        <f>C17/B17</f>
        <v/>
      </c>
      <c r="G17" s="20">
        <f>C17-E17</f>
        <v/>
      </c>
    </row>
    <row r="18">
      <c r="A18" s="13" t="inlineStr">
        <is>
          <t>Annualised (x 365 / 359 days)</t>
        </is>
      </c>
      <c r="B18" s="22">
        <f>B17*365/359</f>
        <v/>
      </c>
      <c r="C18" s="22">
        <f>C17*365/359</f>
        <v/>
      </c>
      <c r="D18" s="22">
        <f>D17*365/359</f>
        <v/>
      </c>
      <c r="E18" s="22">
        <f>E17*365/359</f>
        <v/>
      </c>
    </row>
    <row r="39">
      <c r="A39" s="23" t="inlineStr">
        <is>
          <t>Sensitivity: forecast strategy, EUR per MW per year</t>
        </is>
      </c>
    </row>
    <row r="40" ht="32" customHeight="1">
      <c r="A40" s="3" t="inlineStr">
        <is>
          <t>Duration</t>
        </is>
      </c>
      <c r="B40" s="3" t="inlineStr">
        <is>
          <t>80% RTE</t>
        </is>
      </c>
      <c r="C40" s="3" t="inlineStr">
        <is>
          <t>88% RTE</t>
        </is>
      </c>
      <c r="D40" s="3" t="inlineStr">
        <is>
          <t>92% RTE</t>
        </is>
      </c>
    </row>
    <row r="41">
      <c r="A41" t="inlineStr">
        <is>
          <t>1 h (1 MWh)</t>
        </is>
      </c>
      <c r="B41" s="18" t="n">
        <v>18680.1</v>
      </c>
      <c r="C41" s="18" t="n">
        <v>23113.5</v>
      </c>
      <c r="D41" s="18" t="n">
        <v>25185.6</v>
      </c>
    </row>
    <row r="42">
      <c r="A42" t="inlineStr">
        <is>
          <t>2 h (2 MWh)</t>
        </is>
      </c>
      <c r="B42" s="18" t="n">
        <v>36298.4</v>
      </c>
      <c r="C42" s="18" t="n">
        <v>45138.3</v>
      </c>
      <c r="D42" s="18" t="n">
        <v>49262.7</v>
      </c>
    </row>
    <row r="43">
      <c r="A43" t="inlineStr">
        <is>
          <t>4 h (4 MWh)</t>
        </is>
      </c>
      <c r="B43" s="18" t="n">
        <v>66419</v>
      </c>
      <c r="C43" s="18" t="n">
        <v>83617.2</v>
      </c>
      <c r="D43" s="18" t="n">
        <v>91578.39999999999</v>
      </c>
    </row>
  </sheetData>
  <conditionalFormatting sqref="B41:D43">
    <cfRule type="colorScale" priority="1">
      <colorScale>
        <cfvo type="min"/>
        <cfvo type="max"/>
        <color rgb="00F7FBFF"/>
        <color rgb="002A78D6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Day-ahead price forecast accuracy, test year (EUR/MWh)</t>
        </is>
      </c>
    </row>
    <row r="2">
      <c r="A2" s="2" t="inlineStr">
        <is>
          <t>Information set = what is known at the D-1 11:00 gate closure. 'Upper bound' uses actual wind and is not a forecast.</t>
        </is>
      </c>
    </row>
    <row r="4" ht="32" customHeight="1">
      <c r="A4" s="3" t="inlineStr">
        <is>
          <t>Model</t>
        </is>
      </c>
      <c r="B4" s="3" t="inlineStr">
        <is>
          <t>MAE</t>
        </is>
      </c>
      <c r="C4" s="3" t="inlineStr">
        <is>
          <t>RMSE</t>
        </is>
      </c>
      <c r="D4" s="3" t="inlineStr">
        <is>
          <t>Bias (mean error)</t>
        </is>
      </c>
      <c r="E4" s="3" t="inlineStr">
        <is>
          <t>MAE vs naive</t>
        </is>
      </c>
    </row>
    <row r="5">
      <c r="A5" t="inlineStr">
        <is>
          <t>Naive: same hour last week</t>
        </is>
      </c>
      <c r="B5" s="24" t="n">
        <v>43.9563062751871</v>
      </c>
      <c r="C5" s="24" t="n">
        <v>62.40791049769688</v>
      </c>
      <c r="D5" s="25" t="n">
        <v>-1.379332181922855</v>
      </c>
      <c r="E5" s="19">
        <f>1-B5/$B$6</f>
        <v/>
      </c>
    </row>
    <row r="6">
      <c r="A6" t="inlineStr">
        <is>
          <t>Naive: same hour yesterday</t>
        </is>
      </c>
      <c r="B6" s="24" t="n">
        <v>37.6195014392631</v>
      </c>
      <c r="C6" s="24" t="n">
        <v>55.09060987319295</v>
      </c>
      <c r="D6" s="25" t="n">
        <v>-0.1162867012089809</v>
      </c>
      <c r="E6" s="19">
        <f>1-B6/$B$6</f>
        <v/>
      </c>
    </row>
    <row r="7">
      <c r="A7" t="inlineStr">
        <is>
          <t>Linear regression</t>
        </is>
      </c>
      <c r="B7" s="24" t="n">
        <v>29.06708706206522</v>
      </c>
      <c r="C7" s="24" t="n">
        <v>38.10059756170133</v>
      </c>
      <c r="D7" s="25" t="n">
        <v>-7.784790197648126</v>
      </c>
      <c r="E7" s="19">
        <f>1-B7/$B$6</f>
        <v/>
      </c>
    </row>
    <row r="8">
      <c r="A8" t="inlineStr">
        <is>
          <t>LightGBM</t>
        </is>
      </c>
      <c r="B8" s="24" t="n">
        <v>25.44501483514256</v>
      </c>
      <c r="C8" s="24" t="n">
        <v>35.28181915145021</v>
      </c>
      <c r="D8" s="25" t="n">
        <v>-8.01924389408247</v>
      </c>
      <c r="E8" s="19">
        <f>1-B8/$B$6</f>
        <v/>
      </c>
    </row>
    <row r="9">
      <c r="A9" t="inlineStr">
        <is>
          <t>LightGBM (ICON weather)</t>
        </is>
      </c>
      <c r="B9" s="24" t="n">
        <v>25.71834709391049</v>
      </c>
      <c r="C9" s="24" t="n">
        <v>35.74942990122685</v>
      </c>
      <c r="D9" s="25" t="n">
        <v>-8.404767852721911</v>
      </c>
      <c r="E9" s="19">
        <f>1-B9/$B$6</f>
        <v/>
      </c>
    </row>
    <row r="10">
      <c r="A10" t="inlineStr">
        <is>
          <t>Upper bound: + actual wind</t>
        </is>
      </c>
      <c r="B10" s="24" t="n">
        <v>24.79481595892315</v>
      </c>
      <c r="C10" s="24" t="n">
        <v>34.5086808847724</v>
      </c>
      <c r="D10" s="25" t="n">
        <v>-7.92015388997471</v>
      </c>
      <c r="E10" s="19">
        <f>1-B10/$B$6</f>
        <v/>
      </c>
    </row>
    <row r="13">
      <c r="A13" s="23" t="inlineStr">
        <is>
          <t>MAE by delivery hour</t>
        </is>
      </c>
    </row>
    <row r="14" ht="32" customHeight="1">
      <c r="A14" s="3" t="inlineStr">
        <is>
          <t>Hour</t>
        </is>
      </c>
      <c r="B14" s="3" t="inlineStr">
        <is>
          <t>Naive (yesterday)</t>
        </is>
      </c>
      <c r="C14" s="3" t="inlineStr">
        <is>
          <t>Linear</t>
        </is>
      </c>
      <c r="D14" s="3" t="inlineStr">
        <is>
          <t>LightGBM</t>
        </is>
      </c>
    </row>
    <row r="15">
      <c r="A15" t="inlineStr">
        <is>
          <t>00:00</t>
        </is>
      </c>
      <c r="B15" s="24" t="n">
        <v>28.83</v>
      </c>
      <c r="C15" s="24" t="n">
        <v>29.49</v>
      </c>
      <c r="D15" s="24" t="n">
        <v>20.94</v>
      </c>
    </row>
    <row r="16">
      <c r="A16" t="inlineStr">
        <is>
          <t>01:00</t>
        </is>
      </c>
      <c r="B16" s="24" t="n">
        <v>26.07</v>
      </c>
      <c r="C16" s="24" t="n">
        <v>28.13</v>
      </c>
      <c r="D16" s="24" t="n">
        <v>19.47</v>
      </c>
    </row>
    <row r="17">
      <c r="A17" t="inlineStr">
        <is>
          <t>02:00</t>
        </is>
      </c>
      <c r="B17" s="24" t="n">
        <v>29.2</v>
      </c>
      <c r="C17" s="24" t="n">
        <v>29.39</v>
      </c>
      <c r="D17" s="24" t="n">
        <v>20.99</v>
      </c>
    </row>
    <row r="18">
      <c r="A18" t="inlineStr">
        <is>
          <t>03:00</t>
        </is>
      </c>
      <c r="B18" s="24" t="n">
        <v>28.64</v>
      </c>
      <c r="C18" s="24" t="n">
        <v>29.12</v>
      </c>
      <c r="D18" s="24" t="n">
        <v>20.48</v>
      </c>
    </row>
    <row r="19">
      <c r="A19" t="inlineStr">
        <is>
          <t>04:00</t>
        </is>
      </c>
      <c r="B19" s="24" t="n">
        <v>26.97</v>
      </c>
      <c r="C19" s="24" t="n">
        <v>28.59</v>
      </c>
      <c r="D19" s="24" t="n">
        <v>20.13</v>
      </c>
    </row>
    <row r="20">
      <c r="A20" t="inlineStr">
        <is>
          <t>05:00</t>
        </is>
      </c>
      <c r="B20" s="24" t="n">
        <v>25.14</v>
      </c>
      <c r="C20" s="24" t="n">
        <v>28.12</v>
      </c>
      <c r="D20" s="24" t="n">
        <v>20.17</v>
      </c>
    </row>
    <row r="21">
      <c r="A21" t="inlineStr">
        <is>
          <t>06:00</t>
        </is>
      </c>
      <c r="B21" s="24" t="n">
        <v>28.14</v>
      </c>
      <c r="C21" s="24" t="n">
        <v>28</v>
      </c>
      <c r="D21" s="24" t="n">
        <v>22.53</v>
      </c>
    </row>
    <row r="22">
      <c r="A22" t="inlineStr">
        <is>
          <t>07:00</t>
        </is>
      </c>
      <c r="B22" s="24" t="n">
        <v>42.85</v>
      </c>
      <c r="C22" s="24" t="n">
        <v>32.26</v>
      </c>
      <c r="D22" s="24" t="n">
        <v>29.61</v>
      </c>
    </row>
    <row r="23">
      <c r="A23" t="inlineStr">
        <is>
          <t>08:00</t>
        </is>
      </c>
      <c r="B23" s="24" t="n">
        <v>52.07</v>
      </c>
      <c r="C23" s="24" t="n">
        <v>35.4</v>
      </c>
      <c r="D23" s="24" t="n">
        <v>32.31</v>
      </c>
    </row>
    <row r="24">
      <c r="A24" t="inlineStr">
        <is>
          <t>09:00</t>
        </is>
      </c>
      <c r="B24" s="24" t="n">
        <v>56.58</v>
      </c>
      <c r="C24" s="24" t="n">
        <v>36.43</v>
      </c>
      <c r="D24" s="24" t="n">
        <v>33.38</v>
      </c>
    </row>
    <row r="25">
      <c r="A25" t="inlineStr">
        <is>
          <t>10:00</t>
        </is>
      </c>
      <c r="B25" s="24" t="n">
        <v>49.82</v>
      </c>
      <c r="C25" s="24" t="n">
        <v>31.03</v>
      </c>
      <c r="D25" s="24" t="n">
        <v>30.15</v>
      </c>
    </row>
    <row r="26">
      <c r="A26" t="inlineStr">
        <is>
          <t>11:00</t>
        </is>
      </c>
      <c r="B26" s="24" t="n">
        <v>43.53</v>
      </c>
      <c r="C26" s="24" t="n">
        <v>27.5</v>
      </c>
      <c r="D26" s="24" t="n">
        <v>27.16</v>
      </c>
    </row>
    <row r="27">
      <c r="A27" t="inlineStr">
        <is>
          <t>12:00</t>
        </is>
      </c>
      <c r="B27" s="24" t="n">
        <v>40.93</v>
      </c>
      <c r="C27" s="24" t="n">
        <v>25.8</v>
      </c>
      <c r="D27" s="24" t="n">
        <v>25.72</v>
      </c>
    </row>
    <row r="28">
      <c r="A28" t="inlineStr">
        <is>
          <t>13:00</t>
        </is>
      </c>
      <c r="B28" s="24" t="n">
        <v>38.55</v>
      </c>
      <c r="C28" s="24" t="n">
        <v>25.25</v>
      </c>
      <c r="D28" s="24" t="n">
        <v>24.8</v>
      </c>
    </row>
    <row r="29">
      <c r="A29" t="inlineStr">
        <is>
          <t>14:00</t>
        </is>
      </c>
      <c r="B29" s="24" t="n">
        <v>36.56</v>
      </c>
      <c r="C29" s="24" t="n">
        <v>25.16</v>
      </c>
      <c r="D29" s="24" t="n">
        <v>24.58</v>
      </c>
    </row>
    <row r="30">
      <c r="A30" t="inlineStr">
        <is>
          <t>15:00</t>
        </is>
      </c>
      <c r="B30" s="24" t="n">
        <v>36.2</v>
      </c>
      <c r="C30" s="24" t="n">
        <v>25.13</v>
      </c>
      <c r="D30" s="24" t="n">
        <v>24.54</v>
      </c>
    </row>
    <row r="31">
      <c r="A31" t="inlineStr">
        <is>
          <t>16:00</t>
        </is>
      </c>
      <c r="B31" s="24" t="n">
        <v>36.06</v>
      </c>
      <c r="C31" s="24" t="n">
        <v>24.69</v>
      </c>
      <c r="D31" s="24" t="n">
        <v>24.32</v>
      </c>
    </row>
    <row r="32">
      <c r="A32" t="inlineStr">
        <is>
          <t>17:00</t>
        </is>
      </c>
      <c r="B32" s="24" t="n">
        <v>39.5</v>
      </c>
      <c r="C32" s="24" t="n">
        <v>25.71</v>
      </c>
      <c r="D32" s="24" t="n">
        <v>25.42</v>
      </c>
    </row>
    <row r="33">
      <c r="A33" t="inlineStr">
        <is>
          <t>18:00</t>
        </is>
      </c>
      <c r="B33" s="24" t="n">
        <v>42.67</v>
      </c>
      <c r="C33" s="24" t="n">
        <v>27.12</v>
      </c>
      <c r="D33" s="24" t="n">
        <v>28.25</v>
      </c>
    </row>
    <row r="34">
      <c r="A34" t="inlineStr">
        <is>
          <t>19:00</t>
        </is>
      </c>
      <c r="B34" s="24" t="n">
        <v>41.07</v>
      </c>
      <c r="C34" s="24" t="n">
        <v>28.21</v>
      </c>
      <c r="D34" s="24" t="n">
        <v>28.7</v>
      </c>
    </row>
    <row r="35">
      <c r="A35" t="inlineStr">
        <is>
          <t>20:00</t>
        </is>
      </c>
      <c r="B35" s="24" t="n">
        <v>40.14</v>
      </c>
      <c r="C35" s="24" t="n">
        <v>29.99</v>
      </c>
      <c r="D35" s="24" t="n">
        <v>28.1</v>
      </c>
    </row>
    <row r="36">
      <c r="A36" t="inlineStr">
        <is>
          <t>21:00</t>
        </is>
      </c>
      <c r="B36" s="24" t="n">
        <v>40.41</v>
      </c>
      <c r="C36" s="24" t="n">
        <v>33.2</v>
      </c>
      <c r="D36" s="24" t="n">
        <v>28.97</v>
      </c>
    </row>
    <row r="37">
      <c r="A37" t="inlineStr">
        <is>
          <t>22:00</t>
        </is>
      </c>
      <c r="B37" s="24" t="n">
        <v>38.25</v>
      </c>
      <c r="C37" s="24" t="n">
        <v>32.58</v>
      </c>
      <c r="D37" s="24" t="n">
        <v>26.46</v>
      </c>
    </row>
    <row r="38">
      <c r="A38" t="inlineStr">
        <is>
          <t>23:00</t>
        </is>
      </c>
      <c r="B38" s="24" t="n">
        <v>34.58</v>
      </c>
      <c r="C38" s="24" t="n">
        <v>31.29</v>
      </c>
      <c r="D38" s="24" t="n">
        <v>23.45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Sources, definitions and caveats</t>
        </is>
      </c>
    </row>
    <row r="3" ht="32" customHeight="1">
      <c r="A3" s="26" t="inlineStr">
        <is>
          <t>- Prices: Ember European Wholesale Electricity Price Data (CC-BY-4.0, from SEMOpx), corrected -24 h; flat-price days replaced with official SEMOpx files or excluded (see docs/DECISIONS.md D9).</t>
        </is>
      </c>
    </row>
    <row r="4" ht="32" customHeight="1">
      <c r="A4" s="26" t="inlineStr">
        <is>
          <t>- Wind and load: Energy-Charts (Fraunhofer ISE), ENTSO-E data; ROI = EirGrid area, NI = SONI area. Validated against EirGrid Smart Grid Dashboard (corr 0.998).</t>
        </is>
      </c>
    </row>
    <row r="5" ht="32" customHeight="1">
      <c r="A5" s="26" t="inlineStr">
        <is>
          <t>- Weather forecasts: Open-Meteo Previous Runs API, ECMWF IFS 0.25, 48 h-ahead vintage, six locations (CC-BY-4.0).</t>
        </is>
      </c>
    </row>
    <row r="6" ht="32" customHeight="1">
      <c r="A6" s="26" t="inlineStr">
        <is>
          <t>- Wind penetration uses ROI wind / ROI load because NI load is unpublished for 55% of the period (D8).</t>
        </is>
      </c>
    </row>
    <row r="7" ht="32" customHeight="1">
      <c r="A7" s="26" t="inlineStr">
        <is>
          <t>- Trading day = 23:00-23:00 Irish local time. Hour columns are Irish local time.</t>
        </is>
      </c>
    </row>
    <row r="8" ht="32" customHeight="1">
      <c r="A8" s="26" t="inlineStr">
        <is>
          <t>- Battery figures are DAM-only arbitrage: no system services, capacity, intraday or balancing revenue; no degradation, network charges or imbalance costs; price-taker assumption.</t>
        </is>
      </c>
    </row>
    <row r="9" ht="32" customHeight="1">
      <c r="A9" s="26" t="inlineStr">
        <is>
          <t>- Every number is produced by code in src/ - see README for the one-command rebuild.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2026-10-27T13:38:31Z</dcterms:created>
  <dcterms:modified xsi:type="dcterms:W3CDTF">2026-10-27T13:38:31Z</dcterms:modified>
</cp:coreProperties>
</file>